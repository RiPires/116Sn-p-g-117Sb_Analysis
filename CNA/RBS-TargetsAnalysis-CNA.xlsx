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01"/>
  <workbookPr/>
  <mc:AlternateContent xmlns:mc="http://schemas.openxmlformats.org/markup-compatibility/2006">
    <mc:Choice Requires="x15">
      <x15ac:absPath xmlns:x15ac="http://schemas.microsoft.com/office/spreadsheetml/2010/11/ac" url="C:\Users\Lenovo\OneDrive - Universidade de Lisboa\NUCRIA\TESE\Activations\116Sn(p,g)117Sb_Analysis\CNA\"/>
    </mc:Choice>
  </mc:AlternateContent>
  <xr:revisionPtr revIDLastSave="0" documentId="11_2C0BF43847FE627874208A2A5B53FC3E62A9D58A" xr6:coauthVersionLast="47" xr6:coauthVersionMax="47" xr10:uidLastSave="{00000000-0000-0000-0000-000000000000}"/>
  <bookViews>
    <workbookView xWindow="0" yWindow="0" windowWidth="16380" windowHeight="6700" tabRatio="668" xr2:uid="{00000000-000D-0000-FFFF-FFFF00000000}"/>
  </bookViews>
  <sheets>
    <sheet name="Sn+Al targets" sheetId="8" r:id="rId1"/>
  </sheets>
  <calcPr calcId="152511"/>
  <extLst>
    <ext xmlns:x15="http://schemas.microsoft.com/office/spreadsheetml/2010/11/main" uri="{140A7094-0E35-4892-8432-C4D2E57EDEB5}">
      <x15:workbookPr chartTrackingRefBase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S92" i="8" l="1"/>
  <c r="AF18" i="8" l="1"/>
  <c r="K102" i="8"/>
  <c r="K83" i="8"/>
  <c r="K64" i="8"/>
  <c r="K45" i="8"/>
  <c r="K26" i="8"/>
  <c r="K7" i="8"/>
  <c r="T37" i="8" l="1"/>
  <c r="U37" i="8"/>
  <c r="W37" i="8"/>
  <c r="W113" i="8" l="1"/>
  <c r="W94" i="8"/>
  <c r="W75" i="8"/>
  <c r="W56" i="8" l="1"/>
  <c r="W18" i="8" l="1"/>
  <c r="AF113" i="8" l="1"/>
  <c r="AF94" i="8"/>
  <c r="AF75" i="8"/>
  <c r="AF56" i="8"/>
  <c r="AF37" i="8"/>
  <c r="U113" i="8" l="1"/>
  <c r="T113" i="8"/>
  <c r="U94" i="8"/>
  <c r="T94" i="8"/>
  <c r="U75" i="8"/>
  <c r="T75" i="8"/>
  <c r="U56" i="8"/>
  <c r="T56" i="8"/>
  <c r="U18" i="8" l="1"/>
  <c r="T18" i="8"/>
  <c r="AB107" i="8" l="1"/>
  <c r="Z107" i="8"/>
  <c r="P107" i="8"/>
  <c r="N107" i="8"/>
  <c r="J105" i="8"/>
  <c r="K105" i="8" s="1"/>
  <c r="J104" i="8"/>
  <c r="K104" i="8" s="1"/>
  <c r="J103" i="8"/>
  <c r="K103" i="8" s="1"/>
  <c r="J102" i="8"/>
  <c r="J101" i="8"/>
  <c r="K101" i="8" s="1"/>
  <c r="J100" i="8"/>
  <c r="K100" i="8" s="1"/>
  <c r="AC107" i="8" l="1"/>
  <c r="D102" i="8" a="1"/>
  <c r="E104" i="8" s="1"/>
  <c r="AB88" i="8"/>
  <c r="Z88" i="8"/>
  <c r="P88" i="8"/>
  <c r="N88" i="8"/>
  <c r="J85" i="8"/>
  <c r="K85" i="8" s="1"/>
  <c r="J84" i="8"/>
  <c r="K84" i="8" s="1"/>
  <c r="J83" i="8"/>
  <c r="J82" i="8"/>
  <c r="K82" i="8" s="1"/>
  <c r="J81" i="8"/>
  <c r="K81" i="8" s="1"/>
  <c r="D83" i="8" s="1" a="1"/>
  <c r="AB69" i="8"/>
  <c r="Z69" i="8"/>
  <c r="P69" i="8"/>
  <c r="N69" i="8"/>
  <c r="J67" i="8"/>
  <c r="K67" i="8" s="1"/>
  <c r="J66" i="8"/>
  <c r="K66" i="8" s="1"/>
  <c r="J65" i="8"/>
  <c r="K65" i="8" s="1"/>
  <c r="J64" i="8"/>
  <c r="J63" i="8"/>
  <c r="K63" i="8" s="1"/>
  <c r="J62" i="8"/>
  <c r="AB50" i="8"/>
  <c r="Z50" i="8"/>
  <c r="P50" i="8"/>
  <c r="N50" i="8"/>
  <c r="J48" i="8"/>
  <c r="K48" i="8" s="1"/>
  <c r="J47" i="8"/>
  <c r="Q107" i="8" s="1"/>
  <c r="J46" i="8"/>
  <c r="K46" i="8" s="1"/>
  <c r="J45" i="8"/>
  <c r="J44" i="8"/>
  <c r="K44" i="8" s="1"/>
  <c r="J43" i="8"/>
  <c r="K43" i="8" s="1"/>
  <c r="AB31" i="8"/>
  <c r="Z31" i="8"/>
  <c r="P31" i="8"/>
  <c r="N31" i="8"/>
  <c r="J29" i="8"/>
  <c r="K29" i="8" s="1"/>
  <c r="J28" i="8"/>
  <c r="J27" i="8"/>
  <c r="K27" i="8" s="1"/>
  <c r="J26" i="8"/>
  <c r="J25" i="8"/>
  <c r="K25" i="8" s="1"/>
  <c r="J24" i="8"/>
  <c r="K24" i="8" s="1"/>
  <c r="J10" i="8"/>
  <c r="K10" i="8" s="1"/>
  <c r="J8" i="8"/>
  <c r="K8" i="8" s="1"/>
  <c r="D83" i="8" l="1"/>
  <c r="E84" i="8"/>
  <c r="E83" i="8"/>
  <c r="D86" i="8"/>
  <c r="E86" i="8"/>
  <c r="D84" i="8"/>
  <c r="D85" i="8"/>
  <c r="E85" i="8"/>
  <c r="Q31" i="8"/>
  <c r="AC69" i="8"/>
  <c r="K28" i="8"/>
  <c r="D26" i="8" a="1"/>
  <c r="D26" i="8" s="1"/>
  <c r="Q69" i="8"/>
  <c r="K47" i="8"/>
  <c r="AC88" i="8"/>
  <c r="D104" i="8"/>
  <c r="E105" i="8"/>
  <c r="K62" i="8"/>
  <c r="D64" i="8" s="1" a="1"/>
  <c r="E66" i="8" s="1"/>
  <c r="D102" i="8"/>
  <c r="E103" i="8"/>
  <c r="AC31" i="8"/>
  <c r="E102" i="8"/>
  <c r="D103" i="8"/>
  <c r="AC50" i="8"/>
  <c r="D45" i="8" a="1"/>
  <c r="E47" i="8" s="1"/>
  <c r="Q50" i="8"/>
  <c r="D105" i="8"/>
  <c r="Q88" i="8"/>
  <c r="J9" i="8"/>
  <c r="K9" i="8" s="1"/>
  <c r="J7" i="8"/>
  <c r="J6" i="8"/>
  <c r="K6" i="8" s="1"/>
  <c r="J5" i="8"/>
  <c r="K5" i="8" s="1"/>
  <c r="E29" i="8" l="1"/>
  <c r="E28" i="8"/>
  <c r="D27" i="8"/>
  <c r="D28" i="8"/>
  <c r="D29" i="8"/>
  <c r="E26" i="8"/>
  <c r="E27" i="8"/>
  <c r="E46" i="8"/>
  <c r="D46" i="8"/>
  <c r="D65" i="8"/>
  <c r="D64" i="8"/>
  <c r="P73" i="8" s="1"/>
  <c r="Q73" i="8" s="1"/>
  <c r="E48" i="8"/>
  <c r="D48" i="8"/>
  <c r="D67" i="8"/>
  <c r="D66" i="8"/>
  <c r="P92" i="8"/>
  <c r="Q92" i="8" s="1"/>
  <c r="AB92" i="8"/>
  <c r="AC92" i="8" s="1"/>
  <c r="D45" i="8"/>
  <c r="P54" i="8" s="1"/>
  <c r="Q54" i="8" s="1"/>
  <c r="E45" i="8"/>
  <c r="E65" i="8"/>
  <c r="E64" i="8"/>
  <c r="P111" i="8"/>
  <c r="Q111" i="8" s="1"/>
  <c r="AB111" i="8"/>
  <c r="AC111" i="8" s="1"/>
  <c r="D47" i="8"/>
  <c r="E67" i="8"/>
  <c r="AB35" i="8"/>
  <c r="AC35" i="8" s="1"/>
  <c r="P35" i="8"/>
  <c r="Q35" i="8" s="1"/>
  <c r="AB12" i="8"/>
  <c r="Z12" i="8"/>
  <c r="P12" i="8"/>
  <c r="N12" i="8"/>
  <c r="S35" i="8" l="1"/>
  <c r="S37" i="8" s="1"/>
  <c r="Q37" i="8"/>
  <c r="Q94" i="8"/>
  <c r="S94" i="8"/>
  <c r="Q113" i="8"/>
  <c r="S111" i="8"/>
  <c r="S113" i="8" s="1"/>
  <c r="S54" i="8"/>
  <c r="S56" i="8" s="1"/>
  <c r="Q56" i="8"/>
  <c r="Q75" i="8"/>
  <c r="S73" i="8"/>
  <c r="S75" i="8" s="1"/>
  <c r="AC113" i="8"/>
  <c r="AE111" i="8"/>
  <c r="AE113" i="8" s="1"/>
  <c r="AE92" i="8"/>
  <c r="AE94" i="8" s="1"/>
  <c r="AC94" i="8"/>
  <c r="AC37" i="8"/>
  <c r="AE35" i="8"/>
  <c r="AE37" i="8" s="1"/>
  <c r="AB54" i="8"/>
  <c r="AC54" i="8" s="1"/>
  <c r="AB73" i="8"/>
  <c r="AC73" i="8" s="1"/>
  <c r="AC12" i="8"/>
  <c r="Q12" i="8"/>
  <c r="AC75" i="8" l="1"/>
  <c r="AE73" i="8"/>
  <c r="AE75" i="8" s="1"/>
  <c r="AE54" i="8"/>
  <c r="AE56" i="8" s="1"/>
  <c r="AC56" i="8"/>
  <c r="D7" i="8" a="1"/>
  <c r="E7" i="8" s="1"/>
  <c r="D9" i="8" l="1"/>
  <c r="D8" i="8"/>
  <c r="D7" i="8"/>
  <c r="E9" i="8"/>
  <c r="D10" i="8"/>
  <c r="E8" i="8"/>
  <c r="E10" i="8"/>
  <c r="P16" i="8" l="1"/>
  <c r="Q16" i="8" s="1"/>
  <c r="AB16" i="8"/>
  <c r="AC16" i="8" s="1"/>
  <c r="AE16" i="8" l="1"/>
  <c r="AE18" i="8" s="1"/>
  <c r="AC18" i="8"/>
  <c r="S16" i="8"/>
  <c r="S18" i="8" s="1"/>
  <c r="Q18" i="8"/>
</calcChain>
</file>

<file path=xl/sharedStrings.xml><?xml version="1.0" encoding="utf-8"?>
<sst xmlns="http://schemas.openxmlformats.org/spreadsheetml/2006/main" count="281" uniqueCount="46">
  <si>
    <t xml:space="preserve">Tin density = </t>
  </si>
  <si>
    <t>g/cm^3</t>
  </si>
  <si>
    <t>Al   density =</t>
  </si>
  <si>
    <t>Surface approximation</t>
  </si>
  <si>
    <t>Chu et al, Backscattering spectometry, 1978</t>
  </si>
  <si>
    <t>Ebeam =</t>
  </si>
  <si>
    <t>MeV</t>
  </si>
  <si>
    <t>Element</t>
  </si>
  <si>
    <t>Z</t>
  </si>
  <si>
    <t>A</t>
  </si>
  <si>
    <t>Kinematic factor [K]</t>
  </si>
  <si>
    <t>Back Energy (keV) [K * E0]</t>
  </si>
  <si>
    <t>Surface channel</t>
  </si>
  <si>
    <t>C</t>
  </si>
  <si>
    <t>O</t>
  </si>
  <si>
    <t>Al</t>
  </si>
  <si>
    <t>Si</t>
  </si>
  <si>
    <t>Sn</t>
  </si>
  <si>
    <t>Pt</t>
  </si>
  <si>
    <t>(dE/dx)_in [E_0] (MeV cm^2 / g)</t>
  </si>
  <si>
    <t>(dE/dx)_in [E_0] (eV/nm)</t>
  </si>
  <si>
    <t>(dE/dx)_out [K * E_0] (MeV cm^2 / g)</t>
  </si>
  <si>
    <t>(dE/dx)_out [K * E_0] (eV/nm)</t>
  </si>
  <si>
    <t>[S] (eV/nm)</t>
  </si>
  <si>
    <r>
      <t>(dE/dx)_</t>
    </r>
    <r>
      <rPr>
        <b/>
        <sz val="11"/>
        <color rgb="FFFF0000"/>
        <rFont val="Calibri"/>
        <family val="2"/>
      </rPr>
      <t>in</t>
    </r>
    <r>
      <rPr>
        <b/>
        <sz val="11"/>
        <color rgb="FF0070C0"/>
        <rFont val="Calibri"/>
        <family val="2"/>
      </rPr>
      <t xml:space="preserve"> [E_0] (MeV cm^2 / g)</t>
    </r>
  </si>
  <si>
    <r>
      <t>(dE/dx)_</t>
    </r>
    <r>
      <rPr>
        <b/>
        <sz val="11"/>
        <color rgb="FFFF0000"/>
        <rFont val="Calibri"/>
        <family val="2"/>
      </rPr>
      <t>out</t>
    </r>
    <r>
      <rPr>
        <b/>
        <sz val="11"/>
        <color rgb="FF0070C0"/>
        <rFont val="Calibri"/>
        <family val="2"/>
      </rPr>
      <t xml:space="preserve"> [K * E_0] (MeV cm^2 / g)</t>
    </r>
  </si>
  <si>
    <t>116Sn-C3</t>
  </si>
  <si>
    <t>Sn channel in</t>
  </si>
  <si>
    <t>Sn channel out</t>
  </si>
  <si>
    <t>Delta_E (keV)</t>
  </si>
  <si>
    <t>Analytical</t>
  </si>
  <si>
    <t>SimNRA</t>
  </si>
  <si>
    <t>AEL</t>
  </si>
  <si>
    <t>Al channel in</t>
  </si>
  <si>
    <t>Al channel out</t>
  </si>
  <si>
    <t>+-</t>
  </si>
  <si>
    <t>nm</t>
  </si>
  <si>
    <t>mg/cm2</t>
  </si>
  <si>
    <t>ug/cm2</t>
  </si>
  <si>
    <t>116Sn-C10</t>
  </si>
  <si>
    <t>x (nm)</t>
  </si>
  <si>
    <t>SimNRA (nm)</t>
  </si>
  <si>
    <t>116Sn-D4</t>
  </si>
  <si>
    <t>116Sn-G1</t>
  </si>
  <si>
    <t>116Sn-D8</t>
  </si>
  <si>
    <t>116Sn-D5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</si>
</sst>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"/>
  </numFmts>
  <fonts count="1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  <font>
      <sz val="11"/>
      <name val="Calibri"/>
      <family val="2"/>
      <charset val="1"/>
    </font>
    <font>
      <b/>
      <sz val="12"/>
      <color rgb="FF000000"/>
      <name val="Calibri"/>
      <family val="2"/>
    </font>
    <font>
      <b/>
      <sz val="11"/>
      <color rgb="FF0070C0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b/>
      <sz val="11"/>
      <color rgb="FF00B050"/>
      <name val="Calibri"/>
      <family val="2"/>
    </font>
    <font>
      <i/>
      <sz val="11"/>
      <color rgb="FF000000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rgb="FFD0CECE"/>
        <bgColor rgb="FFD9D9D9"/>
      </patternFill>
    </fill>
    <fill>
      <patternFill patternType="solid">
        <fgColor rgb="FFFF97BC"/>
        <bgColor indexed="64"/>
      </patternFill>
    </fill>
    <fill>
      <patternFill patternType="solid">
        <fgColor rgb="FFFFBDDE"/>
        <bgColor indexed="64"/>
      </patternFill>
    </fill>
    <fill>
      <patternFill patternType="solid">
        <fgColor rgb="FFFFEBFF"/>
        <bgColor indexed="64"/>
      </patternFill>
    </fill>
    <fill>
      <patternFill patternType="solid">
        <fgColor rgb="FFFFBDDE"/>
        <bgColor rgb="FFDAE3F3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DAE3F3"/>
      </patternFill>
    </fill>
    <fill>
      <patternFill patternType="solid">
        <fgColor rgb="FFFFBDDE"/>
        <bgColor rgb="FFDEEBF7"/>
      </patternFill>
    </fill>
    <fill>
      <patternFill patternType="solid">
        <fgColor rgb="FFFF8F8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8F8F"/>
        <bgColor rgb="FFDEEBF7"/>
      </patternFill>
    </fill>
    <fill>
      <patternFill patternType="solid">
        <fgColor theme="4" tint="0.59999389629810485"/>
        <bgColor rgb="FFDEEBF7"/>
      </patternFill>
    </fill>
    <fill>
      <patternFill patternType="solid">
        <fgColor theme="0" tint="-0.14999847407452621"/>
        <bgColor rgb="FFDEEBF7"/>
      </patternFill>
    </fill>
    <fill>
      <patternFill patternType="solid">
        <fgColor theme="9" tint="0.59999389629810485"/>
        <bgColor rgb="FFD9D9D9"/>
      </patternFill>
    </fill>
    <fill>
      <patternFill patternType="solid">
        <fgColor theme="9" tint="0.59999389629810485"/>
        <bgColor rgb="FFDEEBF7"/>
      </patternFill>
    </fill>
    <fill>
      <patternFill patternType="solid">
        <fgColor theme="7" tint="0.59999389629810485"/>
        <bgColor rgb="FFDEEBF7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DD7D7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</borders>
  <cellStyleXfs count="1">
    <xf numFmtId="0" fontId="0" fillId="0" borderId="0"/>
  </cellStyleXfs>
  <cellXfs count="132">
    <xf numFmtId="0" fontId="0" fillId="0" borderId="0" xfId="0"/>
    <xf numFmtId="0" fontId="4" fillId="3" borderId="15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 wrapText="1"/>
    </xf>
    <xf numFmtId="2" fontId="0" fillId="7" borderId="17" xfId="0" applyNumberFormat="1" applyFill="1" applyBorder="1" applyAlignment="1">
      <alignment horizontal="center" vertical="center" wrapText="1"/>
    </xf>
    <xf numFmtId="0" fontId="4" fillId="8" borderId="14" xfId="0" applyFont="1" applyFill="1" applyBorder="1" applyAlignment="1">
      <alignment horizontal="center" vertical="center" wrapText="1"/>
    </xf>
    <xf numFmtId="0" fontId="4" fillId="8" borderId="15" xfId="0" applyFont="1" applyFill="1" applyBorder="1" applyAlignment="1">
      <alignment horizontal="center" vertical="center" wrapText="1"/>
    </xf>
    <xf numFmtId="0" fontId="1" fillId="8" borderId="15" xfId="0" applyFont="1" applyFill="1" applyBorder="1" applyAlignment="1">
      <alignment horizontal="center" vertical="center" wrapText="1"/>
    </xf>
    <xf numFmtId="0" fontId="1" fillId="8" borderId="16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166" fontId="0" fillId="7" borderId="18" xfId="0" applyNumberFormat="1" applyFill="1" applyBorder="1" applyAlignment="1">
      <alignment horizontal="center" vertical="center" wrapText="1"/>
    </xf>
    <xf numFmtId="2" fontId="5" fillId="7" borderId="17" xfId="0" applyNumberFormat="1" applyFont="1" applyFill="1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 wrapText="1"/>
    </xf>
    <xf numFmtId="0" fontId="0" fillId="7" borderId="12" xfId="0" applyFill="1" applyBorder="1" applyAlignment="1">
      <alignment horizontal="center" vertical="center" wrapText="1"/>
    </xf>
    <xf numFmtId="1" fontId="0" fillId="7" borderId="18" xfId="0" applyNumberFormat="1" applyFill="1" applyBorder="1" applyAlignment="1">
      <alignment horizontal="center" vertical="center" wrapText="1"/>
    </xf>
    <xf numFmtId="2" fontId="2" fillId="7" borderId="17" xfId="0" applyNumberFormat="1" applyFont="1" applyFill="1" applyBorder="1" applyAlignment="1">
      <alignment horizontal="center" vertical="center" wrapText="1"/>
    </xf>
    <xf numFmtId="0" fontId="0" fillId="7" borderId="20" xfId="0" applyFill="1" applyBorder="1" applyAlignment="1">
      <alignment horizontal="center" vertical="center" wrapText="1"/>
    </xf>
    <xf numFmtId="0" fontId="2" fillId="7" borderId="17" xfId="0" applyFont="1" applyFill="1" applyBorder="1" applyAlignment="1">
      <alignment horizontal="center" vertical="center" wrapText="1"/>
    </xf>
    <xf numFmtId="0" fontId="1" fillId="4" borderId="1" xfId="0" quotePrefix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0" fontId="1" fillId="8" borderId="13" xfId="0" applyFont="1" applyFill="1" applyBorder="1" applyAlignment="1">
      <alignment horizontal="center" vertical="center" wrapText="1"/>
    </xf>
    <xf numFmtId="1" fontId="0" fillId="8" borderId="19" xfId="0" applyNumberForma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0" fillId="0" borderId="13" xfId="0" applyBorder="1"/>
    <xf numFmtId="0" fontId="1" fillId="11" borderId="13" xfId="0" applyFont="1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1" borderId="19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165" fontId="0" fillId="10" borderId="0" xfId="0" applyNumberFormat="1" applyFill="1" applyAlignment="1">
      <alignment horizontal="center" vertical="center" wrapText="1"/>
    </xf>
    <xf numFmtId="0" fontId="1" fillId="4" borderId="13" xfId="0" applyFont="1" applyFill="1" applyBorder="1" applyAlignment="1">
      <alignment horizontal="center" vertical="center" wrapText="1"/>
    </xf>
    <xf numFmtId="0" fontId="1" fillId="12" borderId="10" xfId="0" applyFont="1" applyFill="1" applyBorder="1" applyAlignment="1">
      <alignment horizontal="center" vertical="center"/>
    </xf>
    <xf numFmtId="0" fontId="0" fillId="12" borderId="2" xfId="0" applyFill="1" applyBorder="1" applyAlignment="1">
      <alignment horizontal="center" vertical="center"/>
    </xf>
    <xf numFmtId="1" fontId="0" fillId="4" borderId="19" xfId="0" applyNumberFormat="1" applyFill="1" applyBorder="1" applyAlignment="1">
      <alignment horizontal="center" vertical="center" wrapText="1"/>
    </xf>
    <xf numFmtId="1" fontId="0" fillId="12" borderId="8" xfId="0" applyNumberFormat="1" applyFill="1" applyBorder="1" applyAlignment="1">
      <alignment horizontal="center" vertical="center"/>
    </xf>
    <xf numFmtId="165" fontId="0" fillId="14" borderId="0" xfId="0" applyNumberFormat="1" applyFill="1" applyAlignment="1">
      <alignment horizontal="center" vertical="center" wrapText="1"/>
    </xf>
    <xf numFmtId="165" fontId="0" fillId="15" borderId="2" xfId="0" applyNumberFormat="1" applyFill="1" applyBorder="1" applyAlignment="1">
      <alignment horizontal="center" vertical="center" wrapText="1"/>
    </xf>
    <xf numFmtId="165" fontId="0" fillId="16" borderId="0" xfId="0" applyNumberFormat="1" applyFill="1" applyAlignment="1">
      <alignment horizontal="center" vertical="center" wrapText="1"/>
    </xf>
    <xf numFmtId="0" fontId="1" fillId="17" borderId="13" xfId="0" applyFont="1" applyFill="1" applyBorder="1" applyAlignment="1">
      <alignment horizontal="center" vertical="center" wrapText="1"/>
    </xf>
    <xf numFmtId="0" fontId="0" fillId="18" borderId="0" xfId="0" applyFill="1" applyAlignment="1">
      <alignment horizontal="center" vertical="center" wrapText="1"/>
    </xf>
    <xf numFmtId="164" fontId="0" fillId="18" borderId="0" xfId="0" applyNumberFormat="1" applyFill="1" applyAlignment="1">
      <alignment horizontal="center" vertical="center" wrapText="1"/>
    </xf>
    <xf numFmtId="165" fontId="0" fillId="18" borderId="0" xfId="0" applyNumberFormat="1" applyFill="1" applyAlignment="1">
      <alignment horizontal="center" vertical="center" wrapText="1"/>
    </xf>
    <xf numFmtId="1" fontId="0" fillId="18" borderId="19" xfId="0" applyNumberFormat="1" applyFill="1" applyBorder="1" applyAlignment="1">
      <alignment horizontal="center" vertical="center" wrapText="1"/>
    </xf>
    <xf numFmtId="0" fontId="1" fillId="13" borderId="9" xfId="0" applyFont="1" applyFill="1" applyBorder="1" applyAlignment="1">
      <alignment horizontal="center" vertical="center"/>
    </xf>
    <xf numFmtId="0" fontId="0" fillId="13" borderId="4" xfId="0" applyFill="1" applyBorder="1" applyAlignment="1">
      <alignment horizontal="center" vertical="center"/>
    </xf>
    <xf numFmtId="165" fontId="0" fillId="19" borderId="4" xfId="0" applyNumberFormat="1" applyFill="1" applyBorder="1" applyAlignment="1">
      <alignment horizontal="center" vertical="center" wrapText="1"/>
    </xf>
    <xf numFmtId="1" fontId="0" fillId="13" borderId="7" xfId="0" applyNumberFormat="1" applyFill="1" applyBorder="1" applyAlignment="1">
      <alignment horizontal="center" vertical="center"/>
    </xf>
    <xf numFmtId="0" fontId="1" fillId="7" borderId="11" xfId="0" applyFont="1" applyFill="1" applyBorder="1" applyAlignment="1">
      <alignment horizontal="center" vertical="center" wrapText="1"/>
    </xf>
    <xf numFmtId="1" fontId="0" fillId="19" borderId="5" xfId="0" applyNumberFormat="1" applyFill="1" applyBorder="1" applyAlignment="1">
      <alignment horizontal="center" vertical="center" wrapText="1"/>
    </xf>
    <xf numFmtId="1" fontId="0" fillId="18" borderId="21" xfId="0" applyNumberFormat="1" applyFill="1" applyBorder="1" applyAlignment="1">
      <alignment horizontal="center" vertical="center" wrapText="1"/>
    </xf>
    <xf numFmtId="1" fontId="0" fillId="9" borderId="21" xfId="0" applyNumberFormat="1" applyFill="1" applyBorder="1" applyAlignment="1">
      <alignment horizontal="center" vertical="center" wrapText="1"/>
    </xf>
    <xf numFmtId="1" fontId="0" fillId="11" borderId="21" xfId="0" applyNumberFormat="1" applyFill="1" applyBorder="1" applyAlignment="1">
      <alignment horizontal="center" vertical="center"/>
    </xf>
    <xf numFmtId="1" fontId="0" fillId="6" borderId="21" xfId="0" applyNumberFormat="1" applyFill="1" applyBorder="1" applyAlignment="1">
      <alignment horizontal="center" vertical="center" wrapText="1"/>
    </xf>
    <xf numFmtId="1" fontId="0" fillId="12" borderId="3" xfId="0" applyNumberForma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6" fillId="5" borderId="12" xfId="0" applyFont="1" applyFill="1" applyBorder="1" applyAlignment="1">
      <alignment horizontal="center" vertical="center"/>
    </xf>
    <xf numFmtId="0" fontId="0" fillId="0" borderId="9" xfId="0" applyBorder="1"/>
    <xf numFmtId="0" fontId="0" fillId="0" borderId="4" xfId="0" applyBorder="1"/>
    <xf numFmtId="0" fontId="0" fillId="0" borderId="10" xfId="0" applyBorder="1"/>
    <xf numFmtId="0" fontId="0" fillId="0" borderId="2" xfId="0" applyBorder="1"/>
    <xf numFmtId="0" fontId="4" fillId="3" borderId="22" xfId="0" applyFont="1" applyFill="1" applyBorder="1" applyAlignment="1">
      <alignment horizontal="center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0" fillId="7" borderId="14" xfId="0" applyFill="1" applyBorder="1" applyAlignment="1">
      <alignment horizontal="center" vertical="center" wrapText="1"/>
    </xf>
    <xf numFmtId="0" fontId="0" fillId="7" borderId="15" xfId="0" applyFill="1" applyBorder="1" applyAlignment="1">
      <alignment horizontal="center" vertical="center" wrapText="1"/>
    </xf>
    <xf numFmtId="0" fontId="0" fillId="5" borderId="1" xfId="0" applyFill="1" applyBorder="1"/>
    <xf numFmtId="0" fontId="0" fillId="0" borderId="4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7" fillId="3" borderId="4" xfId="0" applyFont="1" applyFill="1" applyBorder="1"/>
    <xf numFmtId="2" fontId="0" fillId="7" borderId="24" xfId="0" applyNumberForma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0" fillId="8" borderId="4" xfId="0" applyFill="1" applyBorder="1"/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21" borderId="2" xfId="0" quotePrefix="1" applyFill="1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164" fontId="0" fillId="20" borderId="24" xfId="0" applyNumberFormat="1" applyFill="1" applyBorder="1" applyAlignment="1">
      <alignment horizontal="center" vertical="center" wrapText="1"/>
    </xf>
    <xf numFmtId="0" fontId="2" fillId="0" borderId="0" xfId="0" applyFont="1"/>
    <xf numFmtId="0" fontId="2" fillId="0" borderId="4" xfId="0" applyFont="1" applyBorder="1"/>
    <xf numFmtId="0" fontId="8" fillId="0" borderId="0" xfId="0" applyFont="1"/>
    <xf numFmtId="0" fontId="8" fillId="0" borderId="4" xfId="0" applyFont="1" applyBorder="1"/>
    <xf numFmtId="0" fontId="8" fillId="3" borderId="4" xfId="0" applyFont="1" applyFill="1" applyBorder="1"/>
    <xf numFmtId="0" fontId="8" fillId="0" borderId="4" xfId="0" applyFont="1" applyBorder="1" applyAlignment="1">
      <alignment horizontal="center" vertical="center" wrapText="1"/>
    </xf>
    <xf numFmtId="0" fontId="8" fillId="0" borderId="2" xfId="0" applyFont="1" applyBorder="1"/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5" borderId="2" xfId="0" quotePrefix="1" applyFill="1" applyBorder="1" applyAlignment="1">
      <alignment horizontal="center" vertical="center" wrapText="1"/>
    </xf>
    <xf numFmtId="2" fontId="8" fillId="5" borderId="2" xfId="0" applyNumberFormat="1" applyFont="1" applyFill="1" applyBorder="1" applyAlignment="1">
      <alignment horizontal="center" vertical="center" wrapText="1"/>
    </xf>
    <xf numFmtId="2" fontId="0" fillId="5" borderId="10" xfId="0" applyNumberFormat="1" applyFill="1" applyBorder="1" applyAlignment="1">
      <alignment horizontal="center" vertical="center" wrapText="1"/>
    </xf>
    <xf numFmtId="2" fontId="0" fillId="21" borderId="24" xfId="0" applyNumberFormat="1" applyFill="1" applyBorder="1" applyAlignment="1">
      <alignment horizontal="center" vertical="center" wrapText="1"/>
    </xf>
    <xf numFmtId="0" fontId="7" fillId="20" borderId="11" xfId="0" applyFont="1" applyFill="1" applyBorder="1" applyAlignment="1">
      <alignment horizontal="center" vertical="center" wrapText="1"/>
    </xf>
    <xf numFmtId="0" fontId="7" fillId="21" borderId="11" xfId="0" applyFont="1" applyFill="1" applyBorder="1" applyAlignment="1">
      <alignment horizontal="center" vertical="center" wrapText="1"/>
    </xf>
    <xf numFmtId="0" fontId="0" fillId="21" borderId="6" xfId="0" applyFill="1" applyBorder="1"/>
    <xf numFmtId="0" fontId="2" fillId="21" borderId="12" xfId="0" applyFont="1" applyFill="1" applyBorder="1"/>
    <xf numFmtId="0" fontId="0" fillId="0" borderId="27" xfId="0" applyBorder="1" applyAlignment="1">
      <alignment horizontal="center" vertical="center" wrapText="1"/>
    </xf>
    <xf numFmtId="0" fontId="7" fillId="20" borderId="1" xfId="0" applyFont="1" applyFill="1" applyBorder="1" applyAlignment="1">
      <alignment horizontal="center" vertical="center" wrapText="1"/>
    </xf>
    <xf numFmtId="0" fontId="1" fillId="3" borderId="26" xfId="0" applyFont="1" applyFill="1" applyBorder="1" applyAlignment="1">
      <alignment horizontal="center" vertical="center" wrapText="1"/>
    </xf>
    <xf numFmtId="2" fontId="0" fillId="0" borderId="28" xfId="0" applyNumberFormat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2" fontId="2" fillId="21" borderId="3" xfId="0" applyNumberFormat="1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" fontId="9" fillId="5" borderId="11" xfId="0" applyNumberFormat="1" applyFont="1" applyFill="1" applyBorder="1" applyAlignment="1">
      <alignment horizontal="center" vertical="center" wrapText="1"/>
    </xf>
    <xf numFmtId="0" fontId="0" fillId="5" borderId="6" xfId="0" quotePrefix="1" applyFill="1" applyBorder="1" applyAlignment="1">
      <alignment horizontal="center" vertical="center" wrapText="1"/>
    </xf>
    <xf numFmtId="1" fontId="8" fillId="5" borderId="6" xfId="0" applyNumberFormat="1" applyFont="1" applyFill="1" applyBorder="1" applyAlignment="1">
      <alignment horizontal="center" vertical="center" wrapText="1"/>
    </xf>
    <xf numFmtId="0" fontId="0" fillId="22" borderId="28" xfId="0" applyFill="1" applyBorder="1" applyAlignment="1">
      <alignment horizontal="center" vertical="center" wrapText="1"/>
    </xf>
    <xf numFmtId="0" fontId="0" fillId="23" borderId="28" xfId="0" applyFill="1" applyBorder="1" applyAlignment="1">
      <alignment horizontal="center" vertical="center" wrapText="1"/>
    </xf>
    <xf numFmtId="0" fontId="0" fillId="23" borderId="6" xfId="0" quotePrefix="1" applyFill="1" applyBorder="1" applyAlignment="1">
      <alignment horizontal="center" vertical="center" wrapText="1"/>
    </xf>
    <xf numFmtId="0" fontId="2" fillId="23" borderId="12" xfId="0" applyFont="1" applyFill="1" applyBorder="1" applyAlignment="1">
      <alignment horizontal="center" vertical="center" wrapText="1"/>
    </xf>
    <xf numFmtId="0" fontId="0" fillId="7" borderId="29" xfId="0" applyFill="1" applyBorder="1" applyAlignment="1">
      <alignment horizontal="center" vertical="center" wrapText="1"/>
    </xf>
    <xf numFmtId="1" fontId="9" fillId="7" borderId="11" xfId="0" applyNumberFormat="1" applyFont="1" applyFill="1" applyBorder="1" applyAlignment="1">
      <alignment horizontal="center" vertical="center" wrapText="1"/>
    </xf>
    <xf numFmtId="1" fontId="0" fillId="8" borderId="10" xfId="0" applyNumberFormat="1" applyFill="1" applyBorder="1" applyAlignment="1">
      <alignment horizontal="center" vertical="center" wrapText="1"/>
    </xf>
    <xf numFmtId="0" fontId="0" fillId="8" borderId="2" xfId="0" quotePrefix="1" applyFill="1" applyBorder="1" applyAlignment="1">
      <alignment horizontal="center" vertical="center" wrapText="1"/>
    </xf>
    <xf numFmtId="1" fontId="8" fillId="8" borderId="2" xfId="0" applyNumberFormat="1" applyFont="1" applyFill="1" applyBorder="1" applyAlignment="1">
      <alignment horizontal="center" vertical="center" wrapText="1"/>
    </xf>
    <xf numFmtId="0" fontId="0" fillId="7" borderId="6" xfId="0" quotePrefix="1" applyFill="1" applyBorder="1" applyAlignment="1">
      <alignment horizontal="center" vertical="center" wrapText="1"/>
    </xf>
    <xf numFmtId="1" fontId="8" fillId="7" borderId="6" xfId="0" applyNumberFormat="1" applyFont="1" applyFill="1" applyBorder="1" applyAlignment="1">
      <alignment horizontal="center" vertical="center" wrapText="1"/>
    </xf>
    <xf numFmtId="0" fontId="0" fillId="22" borderId="16" xfId="0" applyFill="1" applyBorder="1" applyAlignment="1">
      <alignment horizontal="center" vertical="center" wrapText="1"/>
    </xf>
    <xf numFmtId="1" fontId="0" fillId="20" borderId="30" xfId="0" applyNumberForma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0" borderId="5" xfId="0" applyBorder="1"/>
    <xf numFmtId="0" fontId="0" fillId="0" borderId="21" xfId="0" applyBorder="1"/>
    <xf numFmtId="0" fontId="0" fillId="0" borderId="3" xfId="0" applyBorder="1"/>
    <xf numFmtId="0" fontId="1" fillId="24" borderId="11" xfId="0" applyFont="1" applyFill="1" applyBorder="1" applyAlignment="1">
      <alignment horizontal="center" vertical="center"/>
    </xf>
    <xf numFmtId="0" fontId="1" fillId="24" borderId="16" xfId="0" applyFont="1" applyFill="1" applyBorder="1" applyAlignment="1">
      <alignment horizontal="center" vertical="center"/>
    </xf>
    <xf numFmtId="0" fontId="10" fillId="0" borderId="31" xfId="0" applyFont="1" applyBorder="1"/>
    <xf numFmtId="0" fontId="10" fillId="0" borderId="32" xfId="0" applyFont="1" applyBorder="1"/>
    <xf numFmtId="0" fontId="0" fillId="0" borderId="33" xfId="0" applyBorder="1"/>
    <xf numFmtId="2" fontId="0" fillId="20" borderId="24" xfId="0" applyNumberForma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C5E0B4"/>
      <rgbColor rgb="FF993366"/>
      <rgbColor rgb="FFFFF2CC"/>
      <rgbColor rgb="FFDEEBF7"/>
      <rgbColor rgb="FF660066"/>
      <rgbColor rgb="FFFF8080"/>
      <rgbColor rgb="FF0066CC"/>
      <rgbColor rgb="FFBDD7EE"/>
      <rgbColor rgb="FF000080"/>
      <rgbColor rgb="FFFF00FF"/>
      <rgbColor rgb="FFFBE5D6"/>
      <rgbColor rgb="FF00FFFF"/>
      <rgbColor rgb="FF800080"/>
      <rgbColor rgb="FF800000"/>
      <rgbColor rgb="FF008080"/>
      <rgbColor rgb="FF0000FF"/>
      <rgbColor rgb="FF00CCFF"/>
      <rgbColor rgb="FFDAE3F3"/>
      <rgbColor rgb="FFE2F0D9"/>
      <rgbColor rgb="FFFFE699"/>
      <rgbColor rgb="FFB4C7E7"/>
      <rgbColor rgb="FFD9D9D9"/>
      <rgbColor rgb="FFD0CECE"/>
      <rgbColor rgb="FFF8CBAD"/>
      <rgbColor rgb="FF3366FF"/>
      <rgbColor rgb="FF33CCCC"/>
      <rgbColor rgb="FF99CC00"/>
      <rgbColor rgb="FFFFC000"/>
      <rgbColor rgb="FFFF9900"/>
      <rgbColor rgb="FFFF6600"/>
      <rgbColor rgb="FF595959"/>
      <rgbColor rgb="FFA5A5A5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DD7D7"/>
      <color rgb="FFFFBDDE"/>
      <color rgb="FFFFEBFF"/>
      <color rgb="FFFF97BC"/>
      <color rgb="FFFF8F8F"/>
      <color rgb="FFDCCBB2"/>
      <color rgb="FFC0A072"/>
      <color rgb="FFCEB692"/>
      <color rgb="FFFFFF9B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4871574459306125E-2"/>
                  <c:y val="0.2217847642035230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PT"/>
                </a:p>
              </c:txPr>
            </c:trendlineLbl>
          </c:trendline>
          <c:xVal>
            <c:numRef>
              <c:f>'Sn+Al targets'!$L$5:$L$10</c:f>
              <c:numCache>
                <c:formatCode>0</c:formatCode>
                <c:ptCount val="6"/>
                <c:pt idx="0">
                  <c:v>317.5</c:v>
                </c:pt>
                <c:pt idx="1">
                  <c:v>346.5</c:v>
                </c:pt>
                <c:pt idx="2">
                  <c:v>376</c:v>
                </c:pt>
                <c:pt idx="3" formatCode="General">
                  <c:v>386.5</c:v>
                </c:pt>
                <c:pt idx="4">
                  <c:v>434</c:v>
                </c:pt>
                <c:pt idx="5">
                  <c:v>442</c:v>
                </c:pt>
              </c:numCache>
            </c:numRef>
          </c:xVal>
          <c:yVal>
            <c:numRef>
              <c:f>'Sn+Al targets'!$K$5:$K$10</c:f>
              <c:numCache>
                <c:formatCode>0</c:formatCode>
                <c:ptCount val="6"/>
                <c:pt idx="0">
                  <c:v>2304.8706081305609</c:v>
                </c:pt>
                <c:pt idx="1">
                  <c:v>2501.9455642234693</c:v>
                </c:pt>
                <c:pt idx="2">
                  <c:v>2684.5156889253863</c:v>
                </c:pt>
                <c:pt idx="3">
                  <c:v>2781.8531330246997</c:v>
                </c:pt>
                <c:pt idx="4">
                  <c:v>3093.350115626873</c:v>
                </c:pt>
                <c:pt idx="5">
                  <c:v>3136.1553016829826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v>RBS Calib Ebeam = 3.2 MeV</c:v>
                </c15:tx>
              </c15:filteredSeriesTitle>
            </c:ext>
            <c:ext xmlns:c16="http://schemas.microsoft.com/office/drawing/2014/chart" uri="{C3380CC4-5D6E-409C-BE32-E72D297353CC}">
              <c16:uniqueId val="{00000001-4725-42AB-9D79-6C221B2045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0979504"/>
        <c:axId val="1931910496"/>
      </c:scatterChart>
      <c:valAx>
        <c:axId val="1680979504"/>
        <c:scaling>
          <c:orientation val="minMax"/>
          <c:min val="3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 sz="1200" b="1"/>
                  <a:t>Channel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931910496"/>
        <c:crosses val="autoZero"/>
        <c:crossBetween val="midCat"/>
      </c:valAx>
      <c:valAx>
        <c:axId val="1931910496"/>
        <c:scaling>
          <c:orientation val="minMax"/>
          <c:min val="2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 sz="1200" b="1"/>
                  <a:t>Energy (keV)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680979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RBS Calib Ebeam = 3.5 MeV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RBS Calib Ebeam = 3.5 MeV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'Sn+Al targets'!$L$24:$L$29</c:f>
              <c:numCache>
                <c:formatCode>0</c:formatCode>
                <c:ptCount val="6"/>
                <c:pt idx="0">
                  <c:v>350</c:v>
                </c:pt>
                <c:pt idx="1">
                  <c:v>382</c:v>
                </c:pt>
                <c:pt idx="2">
                  <c:v>420</c:v>
                </c:pt>
                <c:pt idx="3" formatCode="General">
                  <c:v>426</c:v>
                </c:pt>
                <c:pt idx="4">
                  <c:v>477</c:v>
                </c:pt>
                <c:pt idx="5">
                  <c:v>486</c:v>
                </c:pt>
              </c:numCache>
            </c:numRef>
          </c:xVal>
          <c:yVal>
            <c:numRef>
              <c:f>'Sn+Al targets'!$K$24:$K$29</c:f>
              <c:numCache>
                <c:formatCode>0</c:formatCode>
                <c:ptCount val="6"/>
                <c:pt idx="0">
                  <c:v>2520.9522276428006</c:v>
                </c:pt>
                <c:pt idx="1">
                  <c:v>2736.5029608694194</c:v>
                </c:pt>
                <c:pt idx="2">
                  <c:v>2949.3725069573857</c:v>
                </c:pt>
                <c:pt idx="3">
                  <c:v>3042.6518642457654</c:v>
                </c:pt>
                <c:pt idx="4">
                  <c:v>3383.3516889668922</c:v>
                </c:pt>
                <c:pt idx="5">
                  <c:v>3430.1698612157625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E12-4DDB-8804-EB87D64C3D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1907776"/>
        <c:axId val="1931912672"/>
      </c:scatterChart>
      <c:valAx>
        <c:axId val="1931907776"/>
        <c:scaling>
          <c:orientation val="minMax"/>
          <c:min val="3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 sz="1200" b="1"/>
                  <a:t>Channel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931912672"/>
        <c:crosses val="autoZero"/>
        <c:crossBetween val="midCat"/>
      </c:valAx>
      <c:valAx>
        <c:axId val="1931912672"/>
        <c:scaling>
          <c:orientation val="minMax"/>
          <c:min val="2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 sz="1200" b="1"/>
                  <a:t>Energy (keV)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9319077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RBS Calib Ebeam = 3.9 MeV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RBS Calib Ebeam = 3.9 MeV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'Sn+Al targets'!$L$43:$L$48</c:f>
              <c:numCache>
                <c:formatCode>0</c:formatCode>
                <c:ptCount val="6"/>
                <c:pt idx="0">
                  <c:v>300</c:v>
                </c:pt>
                <c:pt idx="1">
                  <c:v>328</c:v>
                </c:pt>
                <c:pt idx="2">
                  <c:v>356.5</c:v>
                </c:pt>
                <c:pt idx="3" formatCode="General">
                  <c:v>366</c:v>
                </c:pt>
                <c:pt idx="4">
                  <c:v>410</c:v>
                </c:pt>
                <c:pt idx="5">
                  <c:v>418</c:v>
                </c:pt>
              </c:numCache>
            </c:numRef>
          </c:xVal>
          <c:yVal>
            <c:numRef>
              <c:f>'Sn+Al targets'!$K$43:$K$48</c:f>
              <c:numCache>
                <c:formatCode>0</c:formatCode>
                <c:ptCount val="6"/>
                <c:pt idx="0">
                  <c:v>2809.0610536591207</c:v>
                </c:pt>
                <c:pt idx="1">
                  <c:v>3049.2461563973534</c:v>
                </c:pt>
                <c:pt idx="2">
                  <c:v>3303.5319599763839</c:v>
                </c:pt>
                <c:pt idx="3">
                  <c:v>3390.3835058738528</c:v>
                </c:pt>
                <c:pt idx="4">
                  <c:v>3770.0204534202512</c:v>
                </c:pt>
                <c:pt idx="5">
                  <c:v>3822.1892739261352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6F0-4A6A-A212-00E256F66E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1909952"/>
        <c:axId val="1931905600"/>
      </c:scatterChart>
      <c:valAx>
        <c:axId val="1931909952"/>
        <c:scaling>
          <c:orientation val="minMax"/>
          <c:min val="2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 sz="1200" b="1"/>
                  <a:t>Channel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931905600"/>
        <c:crosses val="autoZero"/>
        <c:crossBetween val="midCat"/>
      </c:valAx>
      <c:valAx>
        <c:axId val="1931905600"/>
        <c:scaling>
          <c:orientation val="minMax"/>
          <c:min val="2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 sz="1200" b="1"/>
                  <a:t>Energy (keV)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931909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RBS Calib Ebeam = 4.3 MeV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RBS Calib Ebeam = 4.3 MeV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'Sn+Al targets'!$L$62:$L$67</c:f>
              <c:numCache>
                <c:formatCode>0</c:formatCode>
                <c:ptCount val="6"/>
                <c:pt idx="0">
                  <c:v>334</c:v>
                </c:pt>
                <c:pt idx="1">
                  <c:v>364</c:v>
                </c:pt>
                <c:pt idx="2">
                  <c:v>397</c:v>
                </c:pt>
                <c:pt idx="3" formatCode="General">
                  <c:v>406</c:v>
                </c:pt>
                <c:pt idx="4">
                  <c:v>454.5</c:v>
                </c:pt>
                <c:pt idx="5">
                  <c:v>462</c:v>
                </c:pt>
              </c:numCache>
            </c:numRef>
          </c:xVal>
          <c:yVal>
            <c:numRef>
              <c:f>'Sn+Al targets'!$K$62:$K$67</c:f>
              <c:numCache>
                <c:formatCode>0</c:formatCode>
                <c:ptCount val="6"/>
                <c:pt idx="0">
                  <c:v>3097.1698796754408</c:v>
                </c:pt>
                <c:pt idx="1">
                  <c:v>3361.9893519252869</c:v>
                </c:pt>
                <c:pt idx="2">
                  <c:v>3656.1269746550179</c:v>
                </c:pt>
                <c:pt idx="3">
                  <c:v>3738.1151475019406</c:v>
                </c:pt>
                <c:pt idx="4">
                  <c:v>4156.6892178736107</c:v>
                </c:pt>
                <c:pt idx="5">
                  <c:v>4214.208686636508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E2B-4648-A977-1C81E9E140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1902336"/>
        <c:axId val="1931906144"/>
      </c:scatterChart>
      <c:valAx>
        <c:axId val="1931902336"/>
        <c:scaling>
          <c:orientation val="minMax"/>
          <c:min val="3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 sz="1200" b="1"/>
                  <a:t>Channel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931906144"/>
        <c:crosses val="autoZero"/>
        <c:crossBetween val="midCat"/>
      </c:valAx>
      <c:valAx>
        <c:axId val="1931906144"/>
        <c:scaling>
          <c:orientation val="minMax"/>
          <c:min val="3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 sz="1200" b="1"/>
                  <a:t>Energy (keV)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931902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RBS Calib Ebeam = 4.7 MeV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RBS Calib Ebeam = 4.7 MeV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7203905320490975"/>
                  <c:y val="-0.2430708678779326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PT"/>
                </a:p>
              </c:txPr>
            </c:trendlineLbl>
          </c:trendline>
          <c:xVal>
            <c:numRef>
              <c:f>'Sn+Al targets'!$L$81:$L$85</c:f>
              <c:numCache>
                <c:formatCode>0</c:formatCode>
                <c:ptCount val="5"/>
                <c:pt idx="0">
                  <c:v>317.5</c:v>
                </c:pt>
                <c:pt idx="1">
                  <c:v>346.5</c:v>
                </c:pt>
                <c:pt idx="2">
                  <c:v>378</c:v>
                </c:pt>
                <c:pt idx="3" formatCode="General">
                  <c:v>434</c:v>
                </c:pt>
              </c:numCache>
            </c:numRef>
          </c:xVal>
          <c:yVal>
            <c:numRef>
              <c:f>'Sn+Al targets'!$K$81:$K$85</c:f>
              <c:numCache>
                <c:formatCode>0</c:formatCode>
                <c:ptCount val="5"/>
                <c:pt idx="0">
                  <c:v>3385.2787056917609</c:v>
                </c:pt>
                <c:pt idx="1">
                  <c:v>3674.7325474532204</c:v>
                </c:pt>
                <c:pt idx="2">
                  <c:v>3989.32641123543</c:v>
                </c:pt>
                <c:pt idx="3">
                  <c:v>4543.3579823269692</c:v>
                </c:pt>
                <c:pt idx="4">
                  <c:v>4606.2280993468812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84B-44E0-8449-B0458021BB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1911040"/>
        <c:axId val="1931911584"/>
      </c:scatterChart>
      <c:valAx>
        <c:axId val="1931911040"/>
        <c:scaling>
          <c:orientation val="minMax"/>
          <c:min val="3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 sz="1200" b="1"/>
                  <a:t>Channel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931911584"/>
        <c:crosses val="autoZero"/>
        <c:crossBetween val="midCat"/>
      </c:valAx>
      <c:valAx>
        <c:axId val="1931911584"/>
        <c:scaling>
          <c:orientation val="minMax"/>
          <c:min val="3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 sz="1200" b="1"/>
                  <a:t>Energy (keV)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931911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RBS Calib Ebeam = 5.0 MeV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RBS Calib Ebeam = 5.0 MeV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1411547360680142"/>
                  <c:y val="-0.2292478901633056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PT"/>
                </a:p>
              </c:txPr>
            </c:trendlineLbl>
          </c:trendline>
          <c:xVal>
            <c:numRef>
              <c:f>'Sn+Al targets'!$L$100:$L$105</c:f>
              <c:numCache>
                <c:formatCode>0</c:formatCode>
                <c:ptCount val="6"/>
                <c:pt idx="0">
                  <c:v>339</c:v>
                </c:pt>
                <c:pt idx="1">
                  <c:v>370.5</c:v>
                </c:pt>
                <c:pt idx="2">
                  <c:v>405</c:v>
                </c:pt>
                <c:pt idx="3" formatCode="General">
                  <c:v>413.5</c:v>
                </c:pt>
                <c:pt idx="4">
                  <c:v>463.5</c:v>
                </c:pt>
                <c:pt idx="5">
                  <c:v>472</c:v>
                </c:pt>
              </c:numCache>
            </c:numRef>
          </c:xVal>
          <c:yVal>
            <c:numRef>
              <c:f>'Sn+Al targets'!$K$100:$K$105</c:f>
              <c:numCache>
                <c:formatCode>0</c:formatCode>
                <c:ptCount val="6"/>
                <c:pt idx="0">
                  <c:v>3601.3603252040011</c:v>
                </c:pt>
                <c:pt idx="1">
                  <c:v>3909.289944099171</c:v>
                </c:pt>
                <c:pt idx="2">
                  <c:v>4245.159618066652</c:v>
                </c:pt>
                <c:pt idx="3">
                  <c:v>4346.6455203510932</c:v>
                </c:pt>
                <c:pt idx="4">
                  <c:v>4833.3595556669889</c:v>
                </c:pt>
                <c:pt idx="5">
                  <c:v>4900.2426588796607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9C-41B2-B6D7-455854937C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1913216"/>
        <c:axId val="1931900704"/>
      </c:scatterChart>
      <c:valAx>
        <c:axId val="1931913216"/>
        <c:scaling>
          <c:orientation val="minMax"/>
          <c:min val="3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 sz="1200" b="1"/>
                  <a:t>Channel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931900704"/>
        <c:crosses val="autoZero"/>
        <c:crossBetween val="midCat"/>
      </c:valAx>
      <c:valAx>
        <c:axId val="1931900704"/>
        <c:scaling>
          <c:orientation val="minMax"/>
          <c:min val="3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 sz="1200" b="1"/>
                  <a:t>Energy (keV)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931913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10</xdr:row>
      <xdr:rowOff>119062</xdr:rowOff>
    </xdr:from>
    <xdr:to>
      <xdr:col>11</xdr:col>
      <xdr:colOff>390525</xdr:colOff>
      <xdr:row>19</xdr:row>
      <xdr:rowOff>9525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9525</xdr:colOff>
      <xdr:row>29</xdr:row>
      <xdr:rowOff>119062</xdr:rowOff>
    </xdr:from>
    <xdr:to>
      <xdr:col>11</xdr:col>
      <xdr:colOff>390525</xdr:colOff>
      <xdr:row>38</xdr:row>
      <xdr:rowOff>9525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9525</xdr:colOff>
      <xdr:row>48</xdr:row>
      <xdr:rowOff>119062</xdr:rowOff>
    </xdr:from>
    <xdr:to>
      <xdr:col>11</xdr:col>
      <xdr:colOff>390525</xdr:colOff>
      <xdr:row>57</xdr:row>
      <xdr:rowOff>9525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9525</xdr:colOff>
      <xdr:row>67</xdr:row>
      <xdr:rowOff>119062</xdr:rowOff>
    </xdr:from>
    <xdr:to>
      <xdr:col>11</xdr:col>
      <xdr:colOff>390525</xdr:colOff>
      <xdr:row>76</xdr:row>
      <xdr:rowOff>9525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9525</xdr:colOff>
      <xdr:row>86</xdr:row>
      <xdr:rowOff>119062</xdr:rowOff>
    </xdr:from>
    <xdr:to>
      <xdr:col>11</xdr:col>
      <xdr:colOff>390525</xdr:colOff>
      <xdr:row>95</xdr:row>
      <xdr:rowOff>9525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9525</xdr:colOff>
      <xdr:row>105</xdr:row>
      <xdr:rowOff>119062</xdr:rowOff>
    </xdr:from>
    <xdr:to>
      <xdr:col>11</xdr:col>
      <xdr:colOff>390525</xdr:colOff>
      <xdr:row>114</xdr:row>
      <xdr:rowOff>9525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13</xdr:col>
      <xdr:colOff>114300</xdr:colOff>
      <xdr:row>2</xdr:row>
      <xdr:rowOff>12700</xdr:rowOff>
    </xdr:from>
    <xdr:to>
      <xdr:col>15</xdr:col>
      <xdr:colOff>660064</xdr:colOff>
      <xdr:row>8</xdr:row>
      <xdr:rowOff>171264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97900" y="577850"/>
          <a:ext cx="2685714" cy="1485714"/>
        </a:xfrm>
        <a:prstGeom prst="rect">
          <a:avLst/>
        </a:prstGeom>
        <a:ln>
          <a:solidFill>
            <a:srgbClr val="FF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15"/>
  <sheetViews>
    <sheetView tabSelected="1" topLeftCell="S82" zoomScaleNormal="100" workbookViewId="0">
      <selection activeCell="AC54" sqref="AC54"/>
    </sheetView>
  </sheetViews>
  <sheetFormatPr defaultColWidth="8.5703125" defaultRowHeight="14.45"/>
  <cols>
    <col min="1" max="1" width="15.5703125" bestFit="1" customWidth="1"/>
    <col min="4" max="4" width="9.42578125" customWidth="1"/>
    <col min="5" max="5" width="8.5703125" bestFit="1" customWidth="1"/>
    <col min="6" max="6" width="7.42578125" bestFit="1" customWidth="1"/>
    <col min="7" max="7" width="8.42578125" bestFit="1" customWidth="1"/>
    <col min="8" max="8" width="3" bestFit="1" customWidth="1"/>
    <col min="9" max="9" width="7" bestFit="1" customWidth="1"/>
    <col min="10" max="10" width="9.85546875" bestFit="1" customWidth="1"/>
    <col min="11" max="11" width="12.7109375" bestFit="1" customWidth="1"/>
    <col min="12" max="12" width="8" bestFit="1" customWidth="1"/>
    <col min="13" max="13" width="14.42578125" bestFit="1" customWidth="1"/>
    <col min="14" max="14" width="11.85546875" bestFit="1" customWidth="1"/>
    <col min="15" max="15" width="18.85546875" bestFit="1" customWidth="1"/>
    <col min="16" max="16" width="10.85546875" bestFit="1" customWidth="1"/>
    <col min="17" max="17" width="9.140625" customWidth="1"/>
    <col min="18" max="18" width="2.42578125" bestFit="1" customWidth="1"/>
    <col min="19" max="19" width="4.28515625" style="80" bestFit="1" customWidth="1"/>
    <col min="20" max="20" width="7.42578125" bestFit="1" customWidth="1"/>
    <col min="21" max="21" width="5.28515625" bestFit="1" customWidth="1"/>
    <col min="22" max="22" width="2.42578125" bestFit="1" customWidth="1"/>
    <col min="23" max="23" width="4.28515625" style="78" bestFit="1" customWidth="1"/>
    <col min="24" max="24" width="7.28515625" bestFit="1" customWidth="1"/>
    <col min="25" max="25" width="14.42578125" bestFit="1" customWidth="1"/>
    <col min="26" max="26" width="12.5703125" bestFit="1" customWidth="1"/>
    <col min="27" max="27" width="18.42578125" customWidth="1"/>
    <col min="28" max="28" width="10.85546875" bestFit="1" customWidth="1"/>
    <col min="29" max="29" width="8.85546875" bestFit="1" customWidth="1"/>
    <col min="30" max="30" width="2.42578125" bestFit="1" customWidth="1"/>
    <col min="31" max="31" width="2.85546875" bestFit="1" customWidth="1"/>
    <col min="32" max="32" width="7.42578125" bestFit="1" customWidth="1"/>
    <col min="33" max="33" width="7.140625" bestFit="1" customWidth="1"/>
    <col min="34" max="35" width="7.42578125" bestFit="1" customWidth="1"/>
    <col min="37" max="37" width="9.85546875" customWidth="1"/>
    <col min="38" max="39" width="7.42578125" bestFit="1" customWidth="1"/>
    <col min="40" max="40" width="7.28515625" bestFit="1" customWidth="1"/>
    <col min="41" max="41" width="8.140625" customWidth="1"/>
    <col min="42" max="42" width="6.42578125" customWidth="1"/>
    <col min="43" max="44" width="8.42578125" customWidth="1"/>
    <col min="45" max="45" width="7.85546875" bestFit="1" customWidth="1"/>
    <col min="46" max="46" width="6.140625" bestFit="1" customWidth="1"/>
  </cols>
  <sheetData>
    <row r="1" spans="1:34" ht="29.45" thickBot="1">
      <c r="A1" s="120" t="s">
        <v>0</v>
      </c>
      <c r="B1" s="121">
        <v>7.31</v>
      </c>
      <c r="C1" s="122" t="s">
        <v>1</v>
      </c>
      <c r="D1" s="48" t="s">
        <v>2</v>
      </c>
      <c r="E1" s="12">
        <v>2.6989999999999998</v>
      </c>
      <c r="F1" s="13" t="s">
        <v>1</v>
      </c>
      <c r="N1" t="s">
        <v>3</v>
      </c>
    </row>
    <row r="2" spans="1:34" ht="15" thickBot="1">
      <c r="M2" s="61"/>
      <c r="N2" s="128" t="s">
        <v>4</v>
      </c>
      <c r="O2" s="129"/>
      <c r="P2" s="130"/>
    </row>
    <row r="3" spans="1:34" ht="15" thickBot="1">
      <c r="B3" s="58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Q3" s="59"/>
      <c r="R3" s="59"/>
      <c r="S3" s="81"/>
      <c r="T3" s="59"/>
      <c r="U3" s="59"/>
      <c r="V3" s="59"/>
      <c r="W3" s="7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123"/>
    </row>
    <row r="4" spans="1:34" ht="29.45" thickBot="1">
      <c r="B4" s="25"/>
      <c r="C4" s="55" t="s">
        <v>5</v>
      </c>
      <c r="D4" s="56">
        <v>3.2</v>
      </c>
      <c r="E4" s="57" t="s">
        <v>6</v>
      </c>
      <c r="G4" s="24" t="s">
        <v>7</v>
      </c>
      <c r="H4" s="19" t="s">
        <v>8</v>
      </c>
      <c r="I4" s="19" t="s">
        <v>9</v>
      </c>
      <c r="J4" s="19" t="s">
        <v>10</v>
      </c>
      <c r="K4" s="19" t="s">
        <v>11</v>
      </c>
      <c r="L4" s="20" t="s">
        <v>12</v>
      </c>
      <c r="AH4" s="124"/>
    </row>
    <row r="5" spans="1:34">
      <c r="B5" s="25"/>
      <c r="G5" s="44" t="s">
        <v>13</v>
      </c>
      <c r="H5" s="45">
        <v>6</v>
      </c>
      <c r="I5" s="45">
        <v>12.010999999999999</v>
      </c>
      <c r="J5" s="46">
        <f>((SQRT(1-(1/I5)^2*SIN(RADIANS(165))^2)+1/I5*COS(RADIANS(165)))/(1+1/I5))^2</f>
        <v>0.72027206504080021</v>
      </c>
      <c r="K5" s="49">
        <f t="shared" ref="K5:K10" si="0">$D$4*1000*J5</f>
        <v>2304.8706081305609</v>
      </c>
      <c r="L5" s="47">
        <v>317.5</v>
      </c>
      <c r="AH5" s="124"/>
    </row>
    <row r="6" spans="1:34" ht="15" thickBot="1">
      <c r="B6" s="25"/>
      <c r="G6" s="39" t="s">
        <v>14</v>
      </c>
      <c r="H6" s="40">
        <v>8</v>
      </c>
      <c r="I6" s="41">
        <v>15.999000000000001</v>
      </c>
      <c r="J6" s="42">
        <f t="shared" ref="J6:J8" si="1">((SQRT(1-(1/I6)^2*SIN(RADIANS(165))^2)+1/I6*COS(RADIANS(165)))/(1+1/I6))^2</f>
        <v>0.78185798881983415</v>
      </c>
      <c r="K6" s="50">
        <f t="shared" si="0"/>
        <v>2501.9455642234693</v>
      </c>
      <c r="L6" s="43">
        <v>346.5</v>
      </c>
      <c r="AH6" s="124"/>
    </row>
    <row r="7" spans="1:34" ht="15" thickBot="1">
      <c r="B7" s="25"/>
      <c r="D7" s="126">
        <f t="array" ref="D7:E10">LINEST(K5:K10,L5:L10,TRUE,TRUE)</f>
        <v>6.7224382069060375</v>
      </c>
      <c r="E7" s="127">
        <v>170.71274003546978</v>
      </c>
      <c r="G7" s="22" t="s">
        <v>15</v>
      </c>
      <c r="H7" s="21">
        <v>13</v>
      </c>
      <c r="I7" s="21">
        <v>26.98</v>
      </c>
      <c r="J7" s="38">
        <f t="shared" si="1"/>
        <v>0.86433057478706143</v>
      </c>
      <c r="K7" s="51">
        <f>(3200-94.11)*J7</f>
        <v>2684.5156889253863</v>
      </c>
      <c r="L7" s="23">
        <v>376</v>
      </c>
      <c r="AH7" s="124"/>
    </row>
    <row r="8" spans="1:34" ht="15.75" customHeight="1">
      <c r="B8" s="25"/>
      <c r="D8" s="25">
        <v>9.4757415506544138E-2</v>
      </c>
      <c r="E8" s="124">
        <v>36.60439325237445</v>
      </c>
      <c r="G8" s="26" t="s">
        <v>16</v>
      </c>
      <c r="H8" s="27">
        <v>14</v>
      </c>
      <c r="I8" s="27">
        <v>28.09</v>
      </c>
      <c r="J8" s="36">
        <f t="shared" si="1"/>
        <v>0.86932910407021868</v>
      </c>
      <c r="K8" s="52">
        <f t="shared" si="0"/>
        <v>2781.8531330246997</v>
      </c>
      <c r="L8" s="28">
        <v>386.5</v>
      </c>
      <c r="AH8" s="124"/>
    </row>
    <row r="9" spans="1:34">
      <c r="B9" s="25"/>
      <c r="D9" s="25">
        <v>0.99920587705005592</v>
      </c>
      <c r="E9" s="124">
        <v>10.27686656037883</v>
      </c>
      <c r="G9" s="31" t="s">
        <v>17</v>
      </c>
      <c r="H9" s="29">
        <v>50</v>
      </c>
      <c r="I9" s="29">
        <v>116</v>
      </c>
      <c r="J9" s="30">
        <f>((SQRT(1-(1/I9)^2*SIN(RADIANS(165))^2)+1/I9*COS(RADIANS(165)))/(1+1/I9))^2</f>
        <v>0.96667191113339779</v>
      </c>
      <c r="K9" s="53">
        <f t="shared" si="0"/>
        <v>3093.350115626873</v>
      </c>
      <c r="L9" s="34">
        <v>434</v>
      </c>
      <c r="AH9" s="124"/>
    </row>
    <row r="10" spans="1:34" ht="15" thickBot="1">
      <c r="B10" s="25"/>
      <c r="D10" s="60">
        <v>5033.0034014027715</v>
      </c>
      <c r="E10" s="125">
        <v>4</v>
      </c>
      <c r="G10" s="32" t="s">
        <v>18</v>
      </c>
      <c r="H10" s="33">
        <v>78</v>
      </c>
      <c r="I10" s="33">
        <v>195.1</v>
      </c>
      <c r="J10" s="37">
        <f>((SQRT(1-(1/I10)^2*SIN(RADIANS(165))^2)+1/I10*COS(RADIANS(165)))/(1+1/I10))^2</f>
        <v>0.9800485317759321</v>
      </c>
      <c r="K10" s="54">
        <f t="shared" si="0"/>
        <v>3136.1553016829826</v>
      </c>
      <c r="L10" s="35">
        <v>442</v>
      </c>
      <c r="AH10" s="124"/>
    </row>
    <row r="11" spans="1:34" ht="44.1" thickBot="1">
      <c r="B11" s="25"/>
      <c r="M11" s="1" t="s">
        <v>19</v>
      </c>
      <c r="N11" s="2" t="s">
        <v>20</v>
      </c>
      <c r="O11" s="1" t="s">
        <v>21</v>
      </c>
      <c r="P11" s="2" t="s">
        <v>22</v>
      </c>
      <c r="Q11" s="3" t="s">
        <v>23</v>
      </c>
      <c r="Y11" s="6" t="s">
        <v>24</v>
      </c>
      <c r="Z11" s="7" t="s">
        <v>20</v>
      </c>
      <c r="AA11" s="6" t="s">
        <v>25</v>
      </c>
      <c r="AB11" s="7" t="s">
        <v>22</v>
      </c>
      <c r="AC11" s="8" t="s">
        <v>23</v>
      </c>
      <c r="AH11" s="124"/>
    </row>
    <row r="12" spans="1:34">
      <c r="B12" s="25"/>
      <c r="M12" s="4">
        <v>46.15</v>
      </c>
      <c r="N12" s="11">
        <f>M12*$B$1/10</f>
        <v>33.73565</v>
      </c>
      <c r="O12" s="15">
        <v>47.1</v>
      </c>
      <c r="P12" s="4">
        <f>O12*$B$1/10</f>
        <v>34.430099999999996</v>
      </c>
      <c r="Q12" s="14">
        <f>(($J$9/COS(RADIANS(0))*$N$12)+(1/COS(RADIANS(180-165))*$P$12))</f>
        <v>68.255967677964605</v>
      </c>
      <c r="Y12" s="17">
        <v>80.48</v>
      </c>
      <c r="Z12" s="11">
        <f>Y12*$E$1/10</f>
        <v>21.721551999999999</v>
      </c>
      <c r="AA12" s="17">
        <v>89.24</v>
      </c>
      <c r="AB12" s="4">
        <f>AA12*$E$1/10</f>
        <v>24.085875999999995</v>
      </c>
      <c r="AC12" s="10">
        <f>(($J$7/COS(RADIANS(0))*Z12)+(1/COS(RADIANS(180-165))*AB12))</f>
        <v>43.710135232537922</v>
      </c>
      <c r="AH12" s="124"/>
    </row>
    <row r="13" spans="1:34" ht="17.25" customHeight="1">
      <c r="B13" s="25"/>
      <c r="AH13" s="124"/>
    </row>
    <row r="14" spans="1:34" ht="15" thickBot="1">
      <c r="B14" s="25"/>
      <c r="AH14" s="124"/>
    </row>
    <row r="15" spans="1:34" ht="29.45" thickBot="1">
      <c r="B15" s="25"/>
      <c r="M15" s="9" t="s">
        <v>26</v>
      </c>
      <c r="N15" s="62" t="s">
        <v>27</v>
      </c>
      <c r="O15" s="63" t="s">
        <v>28</v>
      </c>
      <c r="P15" s="97" t="s">
        <v>29</v>
      </c>
      <c r="Q15" s="99" t="s">
        <v>30</v>
      </c>
      <c r="R15" s="69"/>
      <c r="S15" s="82"/>
      <c r="T15" s="91" t="s">
        <v>31</v>
      </c>
      <c r="U15" s="92" t="s">
        <v>32</v>
      </c>
      <c r="V15" s="93"/>
      <c r="W15" s="94"/>
      <c r="Z15" s="5" t="s">
        <v>33</v>
      </c>
      <c r="AA15" s="6" t="s">
        <v>34</v>
      </c>
      <c r="AB15" s="7" t="s">
        <v>29</v>
      </c>
      <c r="AC15" s="71" t="s">
        <v>30</v>
      </c>
      <c r="AD15" s="72"/>
      <c r="AE15" s="72"/>
      <c r="AF15" s="96" t="s">
        <v>31</v>
      </c>
      <c r="AH15" s="124"/>
    </row>
    <row r="16" spans="1:34" ht="15" thickBot="1">
      <c r="B16" s="25"/>
      <c r="M16" s="18"/>
      <c r="N16" s="64">
        <v>434</v>
      </c>
      <c r="O16" s="65">
        <v>420</v>
      </c>
      <c r="P16" s="98">
        <f>(N16-O16)*D7</f>
        <v>94.114134896684533</v>
      </c>
      <c r="Q16" s="104">
        <f>P16*10^3/Q12</f>
        <v>1378.8411196618028</v>
      </c>
      <c r="R16" s="105" t="s">
        <v>35</v>
      </c>
      <c r="S16" s="106">
        <f>Q16/D7*D8</f>
        <v>19.435719135220641</v>
      </c>
      <c r="T16" s="107">
        <v>1383</v>
      </c>
      <c r="U16" s="108">
        <v>1339</v>
      </c>
      <c r="V16" s="109" t="s">
        <v>35</v>
      </c>
      <c r="W16" s="110">
        <v>37</v>
      </c>
      <c r="X16" s="66" t="s">
        <v>36</v>
      </c>
      <c r="Z16" s="111">
        <v>376</v>
      </c>
      <c r="AA16" s="16">
        <v>368</v>
      </c>
      <c r="AB16" s="70">
        <f>(Z16-AA16)*D7</f>
        <v>53.7795056552483</v>
      </c>
      <c r="AC16" s="112">
        <f>AB16*10^3/AC12</f>
        <v>1230.3669473713894</v>
      </c>
      <c r="AD16" s="116" t="s">
        <v>35</v>
      </c>
      <c r="AE16" s="117">
        <f>AC16/D7*D8</f>
        <v>17.342872997749321</v>
      </c>
      <c r="AF16" s="118">
        <v>3.32</v>
      </c>
      <c r="AG16" s="66" t="s">
        <v>36</v>
      </c>
      <c r="AH16" s="124"/>
    </row>
    <row r="17" spans="2:34" ht="15" thickBot="1">
      <c r="B17" s="25"/>
      <c r="Q17" s="102"/>
      <c r="R17" s="73"/>
      <c r="S17" s="103"/>
      <c r="T17" s="95"/>
      <c r="U17" s="95"/>
      <c r="V17" s="73"/>
      <c r="W17" s="100"/>
      <c r="AC17" s="68"/>
      <c r="AD17" s="67"/>
      <c r="AE17" s="83"/>
      <c r="AF17" s="76"/>
      <c r="AH17" s="124"/>
    </row>
    <row r="18" spans="2:34" ht="15" thickBot="1">
      <c r="B18" s="25"/>
      <c r="Q18" s="89">
        <f>Q16*$B$1*10^(-7)*10^3</f>
        <v>1.0079328584727778</v>
      </c>
      <c r="R18" s="87" t="s">
        <v>35</v>
      </c>
      <c r="S18" s="88">
        <f>S16*$B$1*10^(-7)*10^3</f>
        <v>1.4207510687846286E-2</v>
      </c>
      <c r="T18" s="77">
        <f>T16*$B$1*10^(-7)*10^3</f>
        <v>1.0109729999999999</v>
      </c>
      <c r="U18" s="90">
        <f>U16*$B$1*10^(-7)*10^3</f>
        <v>0.97880899999999993</v>
      </c>
      <c r="V18" s="75" t="s">
        <v>35</v>
      </c>
      <c r="W18" s="101">
        <f>W16*$B$1*10^(-7)*10^3</f>
        <v>2.7046999999999998E-2</v>
      </c>
      <c r="X18" s="66" t="s">
        <v>37</v>
      </c>
      <c r="AC18" s="113">
        <f>AC16*$E$1/10</f>
        <v>332.07603909553802</v>
      </c>
      <c r="AD18" s="114" t="s">
        <v>35</v>
      </c>
      <c r="AE18" s="115">
        <f>AE16*$E$1*10^(-7)*10^6</f>
        <v>4.6808414220925414</v>
      </c>
      <c r="AF18" s="119">
        <f>AF16*10^(-7)*$E$1*10^6</f>
        <v>0.89606799999999986</v>
      </c>
      <c r="AG18" s="66" t="s">
        <v>38</v>
      </c>
      <c r="AH18" s="124"/>
    </row>
    <row r="19" spans="2:34">
      <c r="B19" s="25"/>
      <c r="U19" s="73"/>
      <c r="V19" s="73"/>
      <c r="W19" s="85"/>
      <c r="AH19" s="124"/>
    </row>
    <row r="20" spans="2:34" ht="15" thickBot="1">
      <c r="B20" s="60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84"/>
      <c r="T20" s="61"/>
      <c r="U20" s="74"/>
      <c r="V20" s="74"/>
      <c r="W20" s="86"/>
      <c r="X20" s="61"/>
      <c r="Y20" s="61"/>
      <c r="Z20" s="61"/>
      <c r="AA20" s="61"/>
      <c r="AB20" s="61"/>
      <c r="AC20" s="61"/>
      <c r="AD20" s="61"/>
      <c r="AE20" s="61"/>
      <c r="AF20" s="61"/>
      <c r="AG20" s="61"/>
      <c r="AH20" s="125"/>
    </row>
    <row r="21" spans="2:34" ht="15" thickBot="1">
      <c r="U21" s="73"/>
      <c r="V21" s="73"/>
      <c r="W21" s="85"/>
    </row>
    <row r="22" spans="2:34" ht="15" thickBot="1">
      <c r="B22" s="58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81"/>
      <c r="T22" s="59"/>
      <c r="U22" s="59"/>
      <c r="V22" s="59"/>
      <c r="W22" s="7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123"/>
    </row>
    <row r="23" spans="2:34" ht="29.45" thickBot="1">
      <c r="B23" s="25"/>
      <c r="C23" s="55" t="s">
        <v>5</v>
      </c>
      <c r="D23" s="56">
        <v>3.5</v>
      </c>
      <c r="E23" s="57" t="s">
        <v>6</v>
      </c>
      <c r="G23" s="24" t="s">
        <v>7</v>
      </c>
      <c r="H23" s="19" t="s">
        <v>8</v>
      </c>
      <c r="I23" s="19" t="s">
        <v>9</v>
      </c>
      <c r="J23" s="19" t="s">
        <v>10</v>
      </c>
      <c r="K23" s="19" t="s">
        <v>11</v>
      </c>
      <c r="L23" s="20" t="s">
        <v>12</v>
      </c>
      <c r="AH23" s="124"/>
    </row>
    <row r="24" spans="2:34">
      <c r="B24" s="25"/>
      <c r="G24" s="44" t="s">
        <v>13</v>
      </c>
      <c r="H24" s="45">
        <v>6</v>
      </c>
      <c r="I24" s="45">
        <v>12.010999999999999</v>
      </c>
      <c r="J24" s="46">
        <f>((SQRT(1-(1/I24)^2*SIN(RADIANS(165))^2)+1/I24*COS(RADIANS(165)))/(1+1/I24))^2</f>
        <v>0.72027206504080021</v>
      </c>
      <c r="K24" s="49">
        <f>$D$23*1000*J24</f>
        <v>2520.9522276428006</v>
      </c>
      <c r="L24" s="47">
        <v>350</v>
      </c>
      <c r="AH24" s="124"/>
    </row>
    <row r="25" spans="2:34" ht="15" thickBot="1">
      <c r="B25" s="25"/>
      <c r="G25" s="39" t="s">
        <v>14</v>
      </c>
      <c r="H25" s="40">
        <v>8</v>
      </c>
      <c r="I25" s="41">
        <v>15.999000000000001</v>
      </c>
      <c r="J25" s="42">
        <f t="shared" ref="J25:J27" si="2">((SQRT(1-(1/I25)^2*SIN(RADIANS(165))^2)+1/I25*COS(RADIANS(165)))/(1+1/I25))^2</f>
        <v>0.78185798881983415</v>
      </c>
      <c r="K25" s="50">
        <f t="shared" ref="K25:K29" si="3">$D$23*1000*J25</f>
        <v>2736.5029608694194</v>
      </c>
      <c r="L25" s="43">
        <v>382</v>
      </c>
      <c r="AH25" s="124"/>
    </row>
    <row r="26" spans="2:34" ht="15" thickBot="1">
      <c r="B26" s="25"/>
      <c r="D26" s="126">
        <f t="array" ref="D26:E29">LINEST(K24:K29,L24:L29,TRUE,TRUE)</f>
        <v>6.7443407227222565</v>
      </c>
      <c r="E26" s="127">
        <v>154.27188891012838</v>
      </c>
      <c r="G26" s="22" t="s">
        <v>15</v>
      </c>
      <c r="H26" s="21">
        <v>13</v>
      </c>
      <c r="I26" s="21">
        <v>26.98</v>
      </c>
      <c r="J26" s="38">
        <f t="shared" si="2"/>
        <v>0.86433057478706143</v>
      </c>
      <c r="K26" s="51">
        <f>(3500-87.68)*J26</f>
        <v>2949.3725069573857</v>
      </c>
      <c r="L26" s="23">
        <v>420</v>
      </c>
      <c r="AH26" s="124"/>
    </row>
    <row r="27" spans="2:34">
      <c r="B27" s="25"/>
      <c r="D27" s="25">
        <v>0.18295260319507423</v>
      </c>
      <c r="E27" s="124">
        <v>77.979634904095917</v>
      </c>
      <c r="G27" s="26" t="s">
        <v>16</v>
      </c>
      <c r="H27" s="27">
        <v>14</v>
      </c>
      <c r="I27" s="27">
        <v>28.09</v>
      </c>
      <c r="J27" s="36">
        <f t="shared" si="2"/>
        <v>0.86932910407021868</v>
      </c>
      <c r="K27" s="52">
        <f t="shared" si="3"/>
        <v>3042.6518642457654</v>
      </c>
      <c r="L27" s="28">
        <v>426</v>
      </c>
      <c r="AH27" s="124"/>
    </row>
    <row r="28" spans="2:34">
      <c r="B28" s="25"/>
      <c r="D28" s="25">
        <v>0.99706517829788954</v>
      </c>
      <c r="E28" s="124">
        <v>21.578714715039371</v>
      </c>
      <c r="G28" s="31" t="s">
        <v>17</v>
      </c>
      <c r="H28" s="29">
        <v>50</v>
      </c>
      <c r="I28" s="29">
        <v>116</v>
      </c>
      <c r="J28" s="30">
        <f>((SQRT(1-(1/I28)^2*SIN(RADIANS(165))^2)+1/I28*COS(RADIANS(165)))/(1+1/I28))^2</f>
        <v>0.96667191113339779</v>
      </c>
      <c r="K28" s="53">
        <f t="shared" si="3"/>
        <v>3383.3516889668922</v>
      </c>
      <c r="L28" s="34">
        <v>477</v>
      </c>
      <c r="AH28" s="124"/>
    </row>
    <row r="29" spans="2:34" ht="15" thickBot="1">
      <c r="B29" s="25"/>
      <c r="D29" s="60">
        <v>1358.9448075580581</v>
      </c>
      <c r="E29" s="125">
        <v>4</v>
      </c>
      <c r="G29" s="32" t="s">
        <v>18</v>
      </c>
      <c r="H29" s="33">
        <v>78</v>
      </c>
      <c r="I29" s="33">
        <v>195.1</v>
      </c>
      <c r="J29" s="37">
        <f>((SQRT(1-(1/I29)^2*SIN(RADIANS(165))^2)+1/I29*COS(RADIANS(165)))/(1+1/I29))^2</f>
        <v>0.9800485317759321</v>
      </c>
      <c r="K29" s="54">
        <f t="shared" si="3"/>
        <v>3430.1698612157625</v>
      </c>
      <c r="L29" s="35">
        <v>486</v>
      </c>
      <c r="AH29" s="124"/>
    </row>
    <row r="30" spans="2:34" ht="44.1" thickBot="1">
      <c r="B30" s="25"/>
      <c r="M30" s="1" t="s">
        <v>19</v>
      </c>
      <c r="N30" s="2" t="s">
        <v>20</v>
      </c>
      <c r="O30" s="1" t="s">
        <v>21</v>
      </c>
      <c r="P30" s="2" t="s">
        <v>22</v>
      </c>
      <c r="Q30" s="3" t="s">
        <v>23</v>
      </c>
      <c r="Y30" s="6" t="s">
        <v>24</v>
      </c>
      <c r="Z30" s="7" t="s">
        <v>20</v>
      </c>
      <c r="AA30" s="6" t="s">
        <v>25</v>
      </c>
      <c r="AB30" s="7" t="s">
        <v>22</v>
      </c>
      <c r="AC30" s="8" t="s">
        <v>23</v>
      </c>
      <c r="AH30" s="124"/>
    </row>
    <row r="31" spans="2:34">
      <c r="B31" s="25"/>
      <c r="M31" s="4">
        <v>43.69</v>
      </c>
      <c r="N31" s="11">
        <f>M31*$B$1/10</f>
        <v>31.937390000000001</v>
      </c>
      <c r="O31" s="15">
        <v>44.61</v>
      </c>
      <c r="P31" s="4">
        <f>O31*$B$1/10</f>
        <v>32.609909999999999</v>
      </c>
      <c r="Q31" s="14">
        <f>(($J$28/COS(RADIANS(0))*$N$31)+(1/COS(RADIANS(180-165))*$P$31))</f>
        <v>64.633240896229239</v>
      </c>
      <c r="Y31" s="17">
        <v>75.239999999999995</v>
      </c>
      <c r="Z31" s="11">
        <f>Y31*$E$1/10</f>
        <v>20.307275999999998</v>
      </c>
      <c r="AA31" s="17">
        <v>83.51</v>
      </c>
      <c r="AB31" s="4">
        <f>AA31*$E$1/10</f>
        <v>22.539349000000001</v>
      </c>
      <c r="AC31" s="10">
        <f>(($J$26/COS(RADIANS(0))*Z31)+(1/COS(RADIANS(180-165))*AB31))</f>
        <v>40.886650679089321</v>
      </c>
      <c r="AH31" s="124"/>
    </row>
    <row r="32" spans="2:34">
      <c r="B32" s="25"/>
      <c r="AH32" s="124"/>
    </row>
    <row r="33" spans="2:34" ht="15" thickBot="1">
      <c r="B33" s="25"/>
      <c r="AH33" s="124"/>
    </row>
    <row r="34" spans="2:34" ht="29.45" thickBot="1">
      <c r="B34" s="25"/>
      <c r="M34" s="9" t="s">
        <v>39</v>
      </c>
      <c r="N34" s="62" t="s">
        <v>27</v>
      </c>
      <c r="O34" s="63" t="s">
        <v>28</v>
      </c>
      <c r="P34" s="97" t="s">
        <v>29</v>
      </c>
      <c r="Q34" s="99" t="s">
        <v>30</v>
      </c>
      <c r="R34" s="69"/>
      <c r="S34" s="82"/>
      <c r="T34" s="91" t="s">
        <v>31</v>
      </c>
      <c r="U34" s="92" t="s">
        <v>32</v>
      </c>
      <c r="V34" s="93"/>
      <c r="W34" s="94"/>
      <c r="Z34" s="5" t="s">
        <v>33</v>
      </c>
      <c r="AA34" s="6" t="s">
        <v>34</v>
      </c>
      <c r="AB34" s="7" t="s">
        <v>29</v>
      </c>
      <c r="AC34" s="71" t="s">
        <v>40</v>
      </c>
      <c r="AD34" s="72"/>
      <c r="AE34" s="72"/>
      <c r="AF34" s="96" t="s">
        <v>41</v>
      </c>
      <c r="AH34" s="124"/>
    </row>
    <row r="35" spans="2:34" ht="15" thickBot="1">
      <c r="B35" s="25"/>
      <c r="M35" s="18"/>
      <c r="N35" s="64">
        <v>477</v>
      </c>
      <c r="O35" s="65">
        <v>464</v>
      </c>
      <c r="P35" s="98">
        <f>(N35-O35)*D26</f>
        <v>87.676429395389334</v>
      </c>
      <c r="Q35" s="104">
        <f>P35*10^3/Q31</f>
        <v>1356.522250464845</v>
      </c>
      <c r="R35" s="105" t="s">
        <v>35</v>
      </c>
      <c r="S35" s="106">
        <f>Q35/D26*D27</f>
        <v>36.798152290622987</v>
      </c>
      <c r="T35" s="107">
        <v>1387</v>
      </c>
      <c r="U35" s="108">
        <v>1361</v>
      </c>
      <c r="V35" s="109" t="s">
        <v>35</v>
      </c>
      <c r="W35" s="110">
        <v>21</v>
      </c>
      <c r="X35" s="66" t="s">
        <v>36</v>
      </c>
      <c r="Z35" s="111">
        <v>414</v>
      </c>
      <c r="AA35" s="16">
        <v>407</v>
      </c>
      <c r="AB35" s="70">
        <f>(Z35-AA35)*D26</f>
        <v>47.210385059055795</v>
      </c>
      <c r="AC35" s="112">
        <f>AB35*10^3/AC31</f>
        <v>1154.6650135174957</v>
      </c>
      <c r="AD35" s="116" t="s">
        <v>35</v>
      </c>
      <c r="AE35" s="117">
        <f>AC35/D26*D27</f>
        <v>31.322404772580022</v>
      </c>
      <c r="AF35" s="118">
        <v>2.4900000000000002</v>
      </c>
      <c r="AG35" s="66" t="s">
        <v>36</v>
      </c>
      <c r="AH35" s="124"/>
    </row>
    <row r="36" spans="2:34" ht="15" thickBot="1">
      <c r="B36" s="25"/>
      <c r="Q36" s="102"/>
      <c r="R36" s="73"/>
      <c r="S36" s="103"/>
      <c r="T36" s="95"/>
      <c r="U36" s="95"/>
      <c r="V36" s="73"/>
      <c r="W36" s="100"/>
      <c r="AC36" s="68"/>
      <c r="AD36" s="67"/>
      <c r="AE36" s="83"/>
      <c r="AF36" s="76"/>
      <c r="AH36" s="124"/>
    </row>
    <row r="37" spans="2:34" ht="15" thickBot="1">
      <c r="B37" s="25"/>
      <c r="Q37" s="89">
        <f>Q35*$B$1*10^(-7)*10^3</f>
        <v>0.99161776508980159</v>
      </c>
      <c r="R37" s="87" t="s">
        <v>35</v>
      </c>
      <c r="S37" s="88">
        <f>S35*$B$1*10^(-7)*10^3</f>
        <v>2.6899449324445403E-2</v>
      </c>
      <c r="T37" s="131">
        <f>T35*$B$1*10^(-7)*10^3</f>
        <v>1.0138969999999998</v>
      </c>
      <c r="U37" s="90">
        <f>U35*$B$1*10^(-7)*10^3</f>
        <v>0.99489099999999997</v>
      </c>
      <c r="V37" s="75" t="s">
        <v>35</v>
      </c>
      <c r="W37" s="101">
        <f>W35*$B$1*10^(-7)*10^3</f>
        <v>1.5351E-2</v>
      </c>
      <c r="X37" s="66" t="s">
        <v>37</v>
      </c>
      <c r="AC37" s="113">
        <f>AC35*$E$1/10</f>
        <v>311.64408714837208</v>
      </c>
      <c r="AD37" s="114" t="s">
        <v>35</v>
      </c>
      <c r="AE37" s="115">
        <f>AE35*$E$1*10^(-7)*10^6</f>
        <v>8.4539170481193473</v>
      </c>
      <c r="AF37" s="119">
        <f>AF35*$E$1/10</f>
        <v>0.67205099999999995</v>
      </c>
      <c r="AG37" s="66" t="s">
        <v>38</v>
      </c>
      <c r="AH37" s="124"/>
    </row>
    <row r="38" spans="2:34">
      <c r="B38" s="25"/>
      <c r="U38" s="73"/>
      <c r="V38" s="73"/>
      <c r="W38" s="85"/>
      <c r="AH38" s="124"/>
    </row>
    <row r="39" spans="2:34" ht="15" thickBot="1">
      <c r="B39" s="60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84"/>
      <c r="T39" s="61"/>
      <c r="U39" s="74"/>
      <c r="V39" s="74"/>
      <c r="W39" s="86"/>
      <c r="X39" s="61"/>
      <c r="Y39" s="61"/>
      <c r="Z39" s="61"/>
      <c r="AA39" s="61"/>
      <c r="AB39" s="61"/>
      <c r="AC39" s="61"/>
      <c r="AD39" s="61"/>
      <c r="AE39" s="61"/>
      <c r="AF39" s="61"/>
      <c r="AG39" s="61"/>
      <c r="AH39" s="125"/>
    </row>
    <row r="40" spans="2:34" ht="15" thickBot="1">
      <c r="U40" s="73"/>
      <c r="V40" s="73"/>
      <c r="W40" s="85"/>
    </row>
    <row r="41" spans="2:34" ht="15" thickBot="1">
      <c r="B41" s="58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81"/>
      <c r="T41" s="59"/>
      <c r="U41" s="59"/>
      <c r="V41" s="59"/>
      <c r="W41" s="79"/>
      <c r="X41" s="59"/>
      <c r="Y41" s="59"/>
      <c r="Z41" s="59"/>
      <c r="AA41" s="59"/>
      <c r="AB41" s="59"/>
      <c r="AC41" s="59"/>
      <c r="AD41" s="59"/>
      <c r="AE41" s="59"/>
      <c r="AF41" s="59"/>
      <c r="AG41" s="59"/>
      <c r="AH41" s="123"/>
    </row>
    <row r="42" spans="2:34" ht="29.45" thickBot="1">
      <c r="B42" s="25"/>
      <c r="C42" s="55" t="s">
        <v>5</v>
      </c>
      <c r="D42" s="56">
        <v>3.9</v>
      </c>
      <c r="E42" s="57" t="s">
        <v>6</v>
      </c>
      <c r="G42" s="24" t="s">
        <v>7</v>
      </c>
      <c r="H42" s="19" t="s">
        <v>8</v>
      </c>
      <c r="I42" s="19" t="s">
        <v>9</v>
      </c>
      <c r="J42" s="19" t="s">
        <v>10</v>
      </c>
      <c r="K42" s="19" t="s">
        <v>11</v>
      </c>
      <c r="L42" s="20" t="s">
        <v>12</v>
      </c>
      <c r="AH42" s="124"/>
    </row>
    <row r="43" spans="2:34">
      <c r="B43" s="25"/>
      <c r="G43" s="44" t="s">
        <v>13</v>
      </c>
      <c r="H43" s="45">
        <v>6</v>
      </c>
      <c r="I43" s="45">
        <v>12.010999999999999</v>
      </c>
      <c r="J43" s="46">
        <f>((SQRT(1-(1/I43)^2*SIN(RADIANS(165))^2)+1/I43*COS(RADIANS(165)))/(1+1/I43))^2</f>
        <v>0.72027206504080021</v>
      </c>
      <c r="K43" s="49">
        <f>$D$42*1000*J43</f>
        <v>2809.0610536591207</v>
      </c>
      <c r="L43" s="47">
        <v>300</v>
      </c>
      <c r="AH43" s="124"/>
    </row>
    <row r="44" spans="2:34" ht="15" thickBot="1">
      <c r="B44" s="25"/>
      <c r="G44" s="39" t="s">
        <v>14</v>
      </c>
      <c r="H44" s="40">
        <v>8</v>
      </c>
      <c r="I44" s="41">
        <v>15.999000000000001</v>
      </c>
      <c r="J44" s="42">
        <f t="shared" ref="J44:J46" si="4">((SQRT(1-(1/I44)^2*SIN(RADIANS(165))^2)+1/I44*COS(RADIANS(165)))/(1+1/I44))^2</f>
        <v>0.78185798881983415</v>
      </c>
      <c r="K44" s="50">
        <f t="shared" ref="K44:K48" si="5">$D$42*1000*J44</f>
        <v>3049.2461563973534</v>
      </c>
      <c r="L44" s="43">
        <v>328</v>
      </c>
      <c r="AH44" s="124"/>
    </row>
    <row r="45" spans="2:34" ht="15" thickBot="1">
      <c r="B45" s="25"/>
      <c r="D45" s="126">
        <f t="array" ref="D45:E48">LINEST(K43:K48,L43:L48,TRUE,TRUE)</f>
        <v>8.6587074818560179</v>
      </c>
      <c r="E45" s="127">
        <v>213.57302567162697</v>
      </c>
      <c r="G45" s="22" t="s">
        <v>15</v>
      </c>
      <c r="H45" s="21">
        <v>13</v>
      </c>
      <c r="I45" s="21">
        <v>26.98</v>
      </c>
      <c r="J45" s="38">
        <f t="shared" si="4"/>
        <v>0.86433057478706143</v>
      </c>
      <c r="K45" s="51">
        <f>(3900-77.93)*J45</f>
        <v>3303.5319599763839</v>
      </c>
      <c r="L45" s="23">
        <v>356.5</v>
      </c>
      <c r="AH45" s="124"/>
    </row>
    <row r="46" spans="2:34">
      <c r="B46" s="25"/>
      <c r="D46" s="25">
        <v>7.7047909861678518E-2</v>
      </c>
      <c r="E46" s="124">
        <v>28.159513446378519</v>
      </c>
      <c r="G46" s="26" t="s">
        <v>16</v>
      </c>
      <c r="H46" s="27">
        <v>14</v>
      </c>
      <c r="I46" s="27">
        <v>28.09</v>
      </c>
      <c r="J46" s="36">
        <f t="shared" si="4"/>
        <v>0.86932910407021868</v>
      </c>
      <c r="K46" s="52">
        <f t="shared" si="5"/>
        <v>3390.3835058738528</v>
      </c>
      <c r="L46" s="28">
        <v>366</v>
      </c>
      <c r="AH46" s="124"/>
    </row>
    <row r="47" spans="2:34">
      <c r="B47" s="25"/>
      <c r="D47" s="25">
        <v>0.99968338021421288</v>
      </c>
      <c r="E47" s="124">
        <v>7.8872407789279855</v>
      </c>
      <c r="G47" s="31" t="s">
        <v>17</v>
      </c>
      <c r="H47" s="29">
        <v>50</v>
      </c>
      <c r="I47" s="29">
        <v>116</v>
      </c>
      <c r="J47" s="30">
        <f>((SQRT(1-(1/I47)^2*SIN(RADIANS(165))^2)+1/I47*COS(RADIANS(165)))/(1+1/I47))^2</f>
        <v>0.96667191113339779</v>
      </c>
      <c r="K47" s="53">
        <f t="shared" si="5"/>
        <v>3770.0204534202512</v>
      </c>
      <c r="L47" s="34">
        <v>410</v>
      </c>
      <c r="AH47" s="124"/>
    </row>
    <row r="48" spans="2:34" ht="15" thickBot="1">
      <c r="B48" s="25"/>
      <c r="D48" s="60">
        <v>12629.449264885958</v>
      </c>
      <c r="E48" s="125">
        <v>4</v>
      </c>
      <c r="G48" s="32" t="s">
        <v>18</v>
      </c>
      <c r="H48" s="33">
        <v>78</v>
      </c>
      <c r="I48" s="33">
        <v>195.1</v>
      </c>
      <c r="J48" s="37">
        <f>((SQRT(1-(1/I48)^2*SIN(RADIANS(165))^2)+1/I48*COS(RADIANS(165)))/(1+1/I48))^2</f>
        <v>0.9800485317759321</v>
      </c>
      <c r="K48" s="54">
        <f t="shared" si="5"/>
        <v>3822.1892739261352</v>
      </c>
      <c r="L48" s="35">
        <v>418</v>
      </c>
      <c r="AH48" s="124"/>
    </row>
    <row r="49" spans="2:34" ht="44.1" thickBot="1">
      <c r="B49" s="25"/>
      <c r="M49" s="1" t="s">
        <v>19</v>
      </c>
      <c r="N49" s="2" t="s">
        <v>20</v>
      </c>
      <c r="O49" s="1" t="s">
        <v>21</v>
      </c>
      <c r="P49" s="2" t="s">
        <v>22</v>
      </c>
      <c r="Q49" s="3" t="s">
        <v>23</v>
      </c>
      <c r="Y49" s="6" t="s">
        <v>24</v>
      </c>
      <c r="Z49" s="7" t="s">
        <v>20</v>
      </c>
      <c r="AA49" s="6" t="s">
        <v>25</v>
      </c>
      <c r="AB49" s="7" t="s">
        <v>22</v>
      </c>
      <c r="AC49" s="8" t="s">
        <v>23</v>
      </c>
      <c r="AH49" s="124"/>
    </row>
    <row r="50" spans="2:34">
      <c r="B50" s="25"/>
      <c r="M50" s="4">
        <v>40.86</v>
      </c>
      <c r="N50" s="11">
        <f>M50*$B$1/10</f>
        <v>29.868659999999998</v>
      </c>
      <c r="O50" s="15">
        <v>41.73</v>
      </c>
      <c r="P50" s="4">
        <f>O50*$B$1/10</f>
        <v>30.504629999999999</v>
      </c>
      <c r="Q50" s="14">
        <f>(($J$47/COS(RADIANS(0))*$N$50)+(1/COS(RADIANS(180-165))*$P$50))</f>
        <v>60.453911476416494</v>
      </c>
      <c r="Y50" s="17">
        <v>69.319999999999993</v>
      </c>
      <c r="Z50" s="11">
        <f>Y50*$E$1/10</f>
        <v>18.709467999999998</v>
      </c>
      <c r="AA50" s="17">
        <v>77</v>
      </c>
      <c r="AB50" s="4">
        <f>AA50*$E$1/10</f>
        <v>20.782299999999999</v>
      </c>
      <c r="AC50" s="10">
        <f>(($J$45/COS(RADIANS(0))*Z50)+(1/COS(RADIANS(180-165))*AB50))</f>
        <v>37.686585394536593</v>
      </c>
      <c r="AH50" s="124"/>
    </row>
    <row r="51" spans="2:34">
      <c r="B51" s="25"/>
      <c r="AH51" s="124"/>
    </row>
    <row r="52" spans="2:34" ht="15" thickBot="1">
      <c r="B52" s="25"/>
      <c r="AH52" s="124"/>
    </row>
    <row r="53" spans="2:34" ht="29.45" thickBot="1">
      <c r="B53" s="25"/>
      <c r="M53" s="9" t="s">
        <v>42</v>
      </c>
      <c r="N53" s="62" t="s">
        <v>27</v>
      </c>
      <c r="O53" s="63" t="s">
        <v>28</v>
      </c>
      <c r="P53" s="97" t="s">
        <v>29</v>
      </c>
      <c r="Q53" s="99" t="s">
        <v>30</v>
      </c>
      <c r="R53" s="69"/>
      <c r="S53" s="82"/>
      <c r="T53" s="91" t="s">
        <v>31</v>
      </c>
      <c r="U53" s="92" t="s">
        <v>32</v>
      </c>
      <c r="V53" s="93"/>
      <c r="W53" s="94"/>
      <c r="Z53" s="5" t="s">
        <v>33</v>
      </c>
      <c r="AA53" s="6" t="s">
        <v>34</v>
      </c>
      <c r="AB53" s="7" t="s">
        <v>29</v>
      </c>
      <c r="AC53" s="71" t="s">
        <v>40</v>
      </c>
      <c r="AD53" s="72"/>
      <c r="AE53" s="72"/>
      <c r="AF53" s="96" t="s">
        <v>41</v>
      </c>
      <c r="AH53" s="124"/>
    </row>
    <row r="54" spans="2:34" ht="15" thickBot="1">
      <c r="B54" s="25"/>
      <c r="M54" s="18"/>
      <c r="N54" s="64">
        <v>410</v>
      </c>
      <c r="O54" s="65">
        <v>401</v>
      </c>
      <c r="P54" s="98">
        <f>(N54-O54)*D45</f>
        <v>77.928367336704156</v>
      </c>
      <c r="Q54" s="104">
        <f>P54*10^3/Q50</f>
        <v>1289.0541808383164</v>
      </c>
      <c r="R54" s="105" t="s">
        <v>35</v>
      </c>
      <c r="S54" s="106">
        <f>Q54/D45*D46</f>
        <v>11.470410628857641</v>
      </c>
      <c r="T54" s="107">
        <v>1438</v>
      </c>
      <c r="U54" s="108">
        <v>1439</v>
      </c>
      <c r="V54" s="109" t="s">
        <v>35</v>
      </c>
      <c r="W54" s="110">
        <v>77</v>
      </c>
      <c r="X54" s="66" t="s">
        <v>36</v>
      </c>
      <c r="Z54" s="111">
        <v>356.5</v>
      </c>
      <c r="AA54" s="16">
        <v>352.5</v>
      </c>
      <c r="AB54" s="70">
        <f>(Z54-AA54)*D45</f>
        <v>34.634829927424072</v>
      </c>
      <c r="AC54" s="112">
        <f>AB54*10^3/AC50</f>
        <v>919.02276539081379</v>
      </c>
      <c r="AD54" s="116" t="s">
        <v>35</v>
      </c>
      <c r="AE54" s="117">
        <f>AC54/D45*D46</f>
        <v>8.1777543977595943</v>
      </c>
      <c r="AF54" s="118">
        <v>16.93</v>
      </c>
      <c r="AG54" s="66" t="s">
        <v>36</v>
      </c>
      <c r="AH54" s="124"/>
    </row>
    <row r="55" spans="2:34" ht="15" thickBot="1">
      <c r="B55" s="25"/>
      <c r="Q55" s="102"/>
      <c r="R55" s="73"/>
      <c r="S55" s="103"/>
      <c r="T55" s="95"/>
      <c r="U55" s="95"/>
      <c r="V55" s="73"/>
      <c r="W55" s="100"/>
      <c r="AC55" s="68"/>
      <c r="AD55" s="67"/>
      <c r="AE55" s="83"/>
      <c r="AF55" s="76"/>
      <c r="AH55" s="124"/>
    </row>
    <row r="56" spans="2:34" ht="15" thickBot="1">
      <c r="B56" s="25"/>
      <c r="Q56" s="89">
        <f>Q54*$B$1*10^(-7)*10^3</f>
        <v>0.94229860619280914</v>
      </c>
      <c r="R56" s="87" t="s">
        <v>35</v>
      </c>
      <c r="S56" s="88">
        <f>S54*$B$1*10^(-7)*10^3</f>
        <v>8.3848701696949343E-3</v>
      </c>
      <c r="T56" s="131">
        <f>T54*$B$1*10^(-7)*10^3</f>
        <v>1.0511779999999997</v>
      </c>
      <c r="U56" s="90">
        <f>U54*$B$1*10^(-7)*10^3</f>
        <v>1.051909</v>
      </c>
      <c r="V56" s="75" t="s">
        <v>35</v>
      </c>
      <c r="W56" s="101">
        <f>W54*$B$1*10^(-7)*10^3</f>
        <v>5.6286999999999997E-2</v>
      </c>
      <c r="X56" s="66" t="s">
        <v>37</v>
      </c>
      <c r="AC56" s="113">
        <f>AC54*$E$1/10</f>
        <v>248.04424437898064</v>
      </c>
      <c r="AD56" s="114" t="s">
        <v>35</v>
      </c>
      <c r="AE56" s="115">
        <f>AE54*$E$1*10^(-7)*10^6</f>
        <v>2.2071759119553138</v>
      </c>
      <c r="AF56" s="119">
        <f>AF54*$E$1/10</f>
        <v>4.569407</v>
      </c>
      <c r="AG56" s="66" t="s">
        <v>38</v>
      </c>
      <c r="AH56" s="124"/>
    </row>
    <row r="57" spans="2:34">
      <c r="B57" s="25"/>
      <c r="U57" s="73"/>
      <c r="V57" s="73"/>
      <c r="W57" s="85"/>
      <c r="AH57" s="124"/>
    </row>
    <row r="58" spans="2:34" ht="15" thickBot="1">
      <c r="B58" s="60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84"/>
      <c r="T58" s="61"/>
      <c r="U58" s="74"/>
      <c r="V58" s="74"/>
      <c r="W58" s="86"/>
      <c r="X58" s="61"/>
      <c r="Y58" s="61"/>
      <c r="Z58" s="61"/>
      <c r="AA58" s="61"/>
      <c r="AB58" s="61"/>
      <c r="AC58" s="61"/>
      <c r="AD58" s="61"/>
      <c r="AE58" s="61"/>
      <c r="AF58" s="61"/>
      <c r="AG58" s="61"/>
      <c r="AH58" s="125"/>
    </row>
    <row r="59" spans="2:34" ht="15" thickBot="1">
      <c r="U59" s="73"/>
      <c r="V59" s="73"/>
      <c r="W59" s="85"/>
    </row>
    <row r="60" spans="2:34" ht="15" thickBot="1">
      <c r="B60" s="58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81"/>
      <c r="T60" s="59"/>
      <c r="U60" s="59"/>
      <c r="V60" s="59"/>
      <c r="W60" s="79"/>
      <c r="X60" s="59"/>
      <c r="Y60" s="59"/>
      <c r="Z60" s="59"/>
      <c r="AA60" s="59"/>
      <c r="AB60" s="59"/>
      <c r="AC60" s="59"/>
      <c r="AD60" s="59"/>
      <c r="AE60" s="59"/>
      <c r="AF60" s="59"/>
      <c r="AG60" s="59"/>
      <c r="AH60" s="123"/>
    </row>
    <row r="61" spans="2:34" ht="29.45" thickBot="1">
      <c r="B61" s="25"/>
      <c r="C61" s="55" t="s">
        <v>5</v>
      </c>
      <c r="D61" s="56">
        <v>4.3</v>
      </c>
      <c r="E61" s="57" t="s">
        <v>6</v>
      </c>
      <c r="G61" s="24" t="s">
        <v>7</v>
      </c>
      <c r="H61" s="19" t="s">
        <v>8</v>
      </c>
      <c r="I61" s="19" t="s">
        <v>9</v>
      </c>
      <c r="J61" s="19" t="s">
        <v>10</v>
      </c>
      <c r="K61" s="19" t="s">
        <v>11</v>
      </c>
      <c r="L61" s="20" t="s">
        <v>12</v>
      </c>
      <c r="AH61" s="124"/>
    </row>
    <row r="62" spans="2:34">
      <c r="B62" s="25"/>
      <c r="G62" s="44" t="s">
        <v>13</v>
      </c>
      <c r="H62" s="45">
        <v>6</v>
      </c>
      <c r="I62" s="45">
        <v>12.010999999999999</v>
      </c>
      <c r="J62" s="46">
        <f>((SQRT(1-(1/I62)^2*SIN(RADIANS(165))^2)+1/I62*COS(RADIANS(165)))/(1+1/I62))^2</f>
        <v>0.72027206504080021</v>
      </c>
      <c r="K62" s="49">
        <f>$D$61*1000*J62</f>
        <v>3097.1698796754408</v>
      </c>
      <c r="L62" s="47">
        <v>334</v>
      </c>
      <c r="AH62" s="124"/>
    </row>
    <row r="63" spans="2:34" ht="15" thickBot="1">
      <c r="B63" s="25"/>
      <c r="G63" s="39" t="s">
        <v>14</v>
      </c>
      <c r="H63" s="40">
        <v>8</v>
      </c>
      <c r="I63" s="41">
        <v>15.999000000000001</v>
      </c>
      <c r="J63" s="42">
        <f t="shared" ref="J63:J65" si="6">((SQRT(1-(1/I63)^2*SIN(RADIANS(165))^2)+1/I63*COS(RADIANS(165)))/(1+1/I63))^2</f>
        <v>0.78185798881983415</v>
      </c>
      <c r="K63" s="50">
        <f t="shared" ref="K63:K67" si="7">$D$61*1000*J63</f>
        <v>3361.9893519252869</v>
      </c>
      <c r="L63" s="43">
        <v>364</v>
      </c>
      <c r="AH63" s="124"/>
    </row>
    <row r="64" spans="2:34" ht="15" thickBot="1">
      <c r="B64" s="25"/>
      <c r="D64" s="126">
        <f t="array" ref="D64:E67">LINEST(K62:K67,L62:L67,TRUE,TRUE)</f>
        <v>8.7490599214527336</v>
      </c>
      <c r="E64" s="127">
        <v>178.90781635930352</v>
      </c>
      <c r="G64" s="22" t="s">
        <v>15</v>
      </c>
      <c r="H64" s="21">
        <v>13</v>
      </c>
      <c r="I64" s="21">
        <v>26.98</v>
      </c>
      <c r="J64" s="38">
        <f t="shared" si="6"/>
        <v>0.86433057478706143</v>
      </c>
      <c r="K64" s="51">
        <f>(4300-69.99)*J64</f>
        <v>3656.1269746550179</v>
      </c>
      <c r="L64" s="23">
        <v>397</v>
      </c>
      <c r="AH64" s="124"/>
    </row>
    <row r="65" spans="2:34">
      <c r="B65" s="25"/>
      <c r="D65" s="25">
        <v>5.1158133798706262E-2</v>
      </c>
      <c r="E65" s="124">
        <v>20.743884676896712</v>
      </c>
      <c r="G65" s="26" t="s">
        <v>16</v>
      </c>
      <c r="H65" s="27">
        <v>14</v>
      </c>
      <c r="I65" s="27">
        <v>28.09</v>
      </c>
      <c r="J65" s="36">
        <f t="shared" si="6"/>
        <v>0.86932910407021868</v>
      </c>
      <c r="K65" s="52">
        <f t="shared" si="7"/>
        <v>3738.1151475019406</v>
      </c>
      <c r="L65" s="28">
        <v>406</v>
      </c>
      <c r="AH65" s="124"/>
    </row>
    <row r="66" spans="2:34">
      <c r="B66" s="25"/>
      <c r="D66" s="25">
        <v>0.99986325633830953</v>
      </c>
      <c r="E66" s="124">
        <v>5.7105422007442836</v>
      </c>
      <c r="G66" s="31" t="s">
        <v>17</v>
      </c>
      <c r="H66" s="29">
        <v>50</v>
      </c>
      <c r="I66" s="29">
        <v>116</v>
      </c>
      <c r="J66" s="30">
        <f>((SQRT(1-(1/I66)^2*SIN(RADIANS(165))^2)+1/I66*COS(RADIANS(165)))/(1+1/I66))^2</f>
        <v>0.96667191113339779</v>
      </c>
      <c r="K66" s="53">
        <f t="shared" si="7"/>
        <v>4156.6892178736107</v>
      </c>
      <c r="L66" s="34">
        <v>454.5</v>
      </c>
      <c r="AH66" s="124"/>
    </row>
    <row r="67" spans="2:34" ht="15" thickBot="1">
      <c r="B67" s="25"/>
      <c r="D67" s="60">
        <v>29247.812848588645</v>
      </c>
      <c r="E67" s="125">
        <v>4</v>
      </c>
      <c r="G67" s="32" t="s">
        <v>18</v>
      </c>
      <c r="H67" s="33">
        <v>78</v>
      </c>
      <c r="I67" s="33">
        <v>195.1</v>
      </c>
      <c r="J67" s="37">
        <f>((SQRT(1-(1/I67)^2*SIN(RADIANS(165))^2)+1/I67*COS(RADIANS(165)))/(1+1/I67))^2</f>
        <v>0.9800485317759321</v>
      </c>
      <c r="K67" s="54">
        <f t="shared" si="7"/>
        <v>4214.208686636508</v>
      </c>
      <c r="L67" s="35">
        <v>462</v>
      </c>
      <c r="AH67" s="124"/>
    </row>
    <row r="68" spans="2:34" ht="44.1" thickBot="1">
      <c r="B68" s="25"/>
      <c r="M68" s="1" t="s">
        <v>19</v>
      </c>
      <c r="N68" s="2" t="s">
        <v>20</v>
      </c>
      <c r="O68" s="1" t="s">
        <v>21</v>
      </c>
      <c r="P68" s="2" t="s">
        <v>22</v>
      </c>
      <c r="Q68" s="3" t="s">
        <v>23</v>
      </c>
      <c r="Y68" s="6" t="s">
        <v>24</v>
      </c>
      <c r="Z68" s="7" t="s">
        <v>20</v>
      </c>
      <c r="AA68" s="6" t="s">
        <v>25</v>
      </c>
      <c r="AB68" s="7" t="s">
        <v>22</v>
      </c>
      <c r="AC68" s="8" t="s">
        <v>23</v>
      </c>
      <c r="AH68" s="124"/>
    </row>
    <row r="69" spans="2:34">
      <c r="B69" s="25"/>
      <c r="M69" s="4">
        <v>38.450000000000003</v>
      </c>
      <c r="N69" s="11">
        <f>M69*$B$1/10</f>
        <v>28.106950000000001</v>
      </c>
      <c r="O69" s="15">
        <v>39.270000000000003</v>
      </c>
      <c r="P69" s="4">
        <f>O69*$B$1/10</f>
        <v>28.70637</v>
      </c>
      <c r="Q69" s="14">
        <f>(($J$47/COS(RADIANS(0))*$N$69)+(1/COS(RADIANS(180-165))*$P$69))</f>
        <v>56.889220159669449</v>
      </c>
      <c r="Y69" s="17">
        <v>64.39</v>
      </c>
      <c r="Z69" s="11">
        <f>Y69*$E$1/10</f>
        <v>17.378861000000001</v>
      </c>
      <c r="AA69" s="17">
        <v>71.59</v>
      </c>
      <c r="AB69" s="4">
        <f>AA69*$E$1/10</f>
        <v>19.322140999999998</v>
      </c>
      <c r="AC69" s="10">
        <f>(($J$45/COS(RADIANS(0))*Z69)+(1/COS(RADIANS(180-165))*AB69))</f>
        <v>35.024833249099501</v>
      </c>
      <c r="AH69" s="124"/>
    </row>
    <row r="70" spans="2:34">
      <c r="B70" s="25"/>
      <c r="AH70" s="124"/>
    </row>
    <row r="71" spans="2:34" ht="15" thickBot="1">
      <c r="B71" s="25"/>
      <c r="AH71" s="124"/>
    </row>
    <row r="72" spans="2:34" ht="29.45" thickBot="1">
      <c r="B72" s="25"/>
      <c r="M72" s="9" t="s">
        <v>43</v>
      </c>
      <c r="N72" s="62" t="s">
        <v>27</v>
      </c>
      <c r="O72" s="63" t="s">
        <v>28</v>
      </c>
      <c r="P72" s="97" t="s">
        <v>29</v>
      </c>
      <c r="Q72" s="99" t="s">
        <v>30</v>
      </c>
      <c r="R72" s="69"/>
      <c r="S72" s="82"/>
      <c r="T72" s="91" t="s">
        <v>31</v>
      </c>
      <c r="U72" s="92" t="s">
        <v>32</v>
      </c>
      <c r="V72" s="93"/>
      <c r="W72" s="94"/>
      <c r="Z72" s="5" t="s">
        <v>33</v>
      </c>
      <c r="AA72" s="6" t="s">
        <v>34</v>
      </c>
      <c r="AB72" s="7" t="s">
        <v>29</v>
      </c>
      <c r="AC72" s="71" t="s">
        <v>40</v>
      </c>
      <c r="AD72" s="72"/>
      <c r="AE72" s="72"/>
      <c r="AF72" s="96" t="s">
        <v>41</v>
      </c>
      <c r="AH72" s="124"/>
    </row>
    <row r="73" spans="2:34" ht="15" thickBot="1">
      <c r="B73" s="25"/>
      <c r="M73" s="18"/>
      <c r="N73" s="64">
        <v>454.5</v>
      </c>
      <c r="O73" s="65">
        <v>446.5</v>
      </c>
      <c r="P73" s="98">
        <f>(N73-O73)*D64</f>
        <v>69.992479371621869</v>
      </c>
      <c r="Q73" s="104">
        <f>P73*10^3/Q69</f>
        <v>1230.3293870996272</v>
      </c>
      <c r="R73" s="105" t="s">
        <v>35</v>
      </c>
      <c r="S73" s="106">
        <f>Q73/D64*D65</f>
        <v>7.1940706735120781</v>
      </c>
      <c r="T73" s="107">
        <v>1349</v>
      </c>
      <c r="U73" s="108">
        <v>1407</v>
      </c>
      <c r="V73" s="109" t="s">
        <v>35</v>
      </c>
      <c r="W73" s="110">
        <v>47</v>
      </c>
      <c r="X73" s="66" t="s">
        <v>36</v>
      </c>
      <c r="Z73" s="111">
        <v>397</v>
      </c>
      <c r="AA73" s="16">
        <v>392</v>
      </c>
      <c r="AB73" s="70">
        <f>(Z73-AA73)*D64</f>
        <v>43.745299607263668</v>
      </c>
      <c r="AC73" s="112">
        <f>AB73*10^3/AC69</f>
        <v>1248.979525359721</v>
      </c>
      <c r="AD73" s="116" t="s">
        <v>35</v>
      </c>
      <c r="AE73" s="117">
        <f>AC73/D64*D65</f>
        <v>7.30312310623514</v>
      </c>
      <c r="AF73" s="118">
        <v>10.29</v>
      </c>
      <c r="AG73" s="66" t="s">
        <v>36</v>
      </c>
      <c r="AH73" s="124"/>
    </row>
    <row r="74" spans="2:34" ht="15" thickBot="1">
      <c r="B74" s="25"/>
      <c r="Q74" s="102"/>
      <c r="R74" s="73"/>
      <c r="S74" s="103"/>
      <c r="T74" s="95"/>
      <c r="U74" s="95"/>
      <c r="V74" s="73"/>
      <c r="W74" s="100"/>
      <c r="AC74" s="68"/>
      <c r="AD74" s="67"/>
      <c r="AE74" s="83"/>
      <c r="AF74" s="76"/>
      <c r="AH74" s="124"/>
    </row>
    <row r="75" spans="2:34" ht="15" thickBot="1">
      <c r="B75" s="25"/>
      <c r="Q75" s="89">
        <f>Q73*$B$1*10^(-7)*10^3</f>
        <v>0.89937078196982745</v>
      </c>
      <c r="R75" s="87" t="s">
        <v>35</v>
      </c>
      <c r="S75" s="88">
        <f>S73*$B$1*10^(-7)*10^3</f>
        <v>5.2588656623373288E-3</v>
      </c>
      <c r="T75" s="131">
        <f>T73*$B$1*10^(-7)*10^3</f>
        <v>0.98611899999999997</v>
      </c>
      <c r="U75" s="90">
        <f>U73*$B$1*10^(-7)*10^3</f>
        <v>1.0285170000000001</v>
      </c>
      <c r="V75" s="75" t="s">
        <v>35</v>
      </c>
      <c r="W75" s="101">
        <f>W73*$B$1*10^(-7)*10^3</f>
        <v>3.4356999999999999E-2</v>
      </c>
      <c r="X75" s="66" t="s">
        <v>37</v>
      </c>
      <c r="AC75" s="113">
        <f>AC73*$E$1/10</f>
        <v>337.09957389458867</v>
      </c>
      <c r="AD75" s="114" t="s">
        <v>35</v>
      </c>
      <c r="AE75" s="115">
        <f>AE73*$E$1*10^(-7)*10^6</f>
        <v>1.9711129263728642</v>
      </c>
      <c r="AF75" s="119">
        <f>AF73*$E$1/10</f>
        <v>2.7772709999999998</v>
      </c>
      <c r="AG75" s="66" t="s">
        <v>38</v>
      </c>
      <c r="AH75" s="124"/>
    </row>
    <row r="76" spans="2:34">
      <c r="B76" s="25"/>
      <c r="U76" s="73"/>
      <c r="V76" s="73"/>
      <c r="W76" s="85"/>
      <c r="AH76" s="124"/>
    </row>
    <row r="77" spans="2:34" ht="15" thickBot="1">
      <c r="B77" s="60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84"/>
      <c r="T77" s="61"/>
      <c r="U77" s="74"/>
      <c r="V77" s="74"/>
      <c r="W77" s="86"/>
      <c r="X77" s="61"/>
      <c r="Y77" s="61"/>
      <c r="Z77" s="61"/>
      <c r="AA77" s="61"/>
      <c r="AB77" s="61"/>
      <c r="AC77" s="61"/>
      <c r="AD77" s="61"/>
      <c r="AE77" s="61"/>
      <c r="AF77" s="61"/>
      <c r="AG77" s="61"/>
      <c r="AH77" s="125"/>
    </row>
    <row r="78" spans="2:34" ht="15" thickBot="1">
      <c r="U78" s="73"/>
      <c r="V78" s="73"/>
      <c r="W78" s="85"/>
    </row>
    <row r="79" spans="2:34" ht="15" thickBot="1">
      <c r="B79" s="58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81"/>
      <c r="T79" s="59"/>
      <c r="U79" s="59"/>
      <c r="V79" s="59"/>
      <c r="W79" s="79"/>
      <c r="X79" s="59"/>
      <c r="Y79" s="59"/>
      <c r="Z79" s="59"/>
      <c r="AA79" s="59"/>
      <c r="AB79" s="59"/>
      <c r="AC79" s="59"/>
      <c r="AD79" s="59"/>
      <c r="AE79" s="59"/>
      <c r="AF79" s="59"/>
      <c r="AG79" s="59"/>
      <c r="AH79" s="123"/>
    </row>
    <row r="80" spans="2:34" ht="29.45" thickBot="1">
      <c r="B80" s="25"/>
      <c r="C80" s="55" t="s">
        <v>5</v>
      </c>
      <c r="D80" s="56">
        <v>4.7</v>
      </c>
      <c r="E80" s="57" t="s">
        <v>6</v>
      </c>
      <c r="G80" s="24" t="s">
        <v>7</v>
      </c>
      <c r="H80" s="19" t="s">
        <v>8</v>
      </c>
      <c r="I80" s="19" t="s">
        <v>9</v>
      </c>
      <c r="J80" s="19" t="s">
        <v>10</v>
      </c>
      <c r="K80" s="19" t="s">
        <v>11</v>
      </c>
      <c r="L80" s="20" t="s">
        <v>12</v>
      </c>
      <c r="AH80" s="124"/>
    </row>
    <row r="81" spans="2:34">
      <c r="B81" s="25"/>
      <c r="G81" s="44" t="s">
        <v>13</v>
      </c>
      <c r="H81" s="45">
        <v>6</v>
      </c>
      <c r="I81" s="45">
        <v>12.010999999999999</v>
      </c>
      <c r="J81" s="46">
        <f>((SQRT(1-(1/I81)^2*SIN(RADIANS(165))^2)+1/I81*COS(RADIANS(165)))/(1+1/I81))^2</f>
        <v>0.72027206504080021</v>
      </c>
      <c r="K81" s="49">
        <f>$D$80*1000*J81</f>
        <v>3385.2787056917609</v>
      </c>
      <c r="L81" s="47">
        <v>317.5</v>
      </c>
      <c r="AH81" s="124"/>
    </row>
    <row r="82" spans="2:34" ht="15" thickBot="1">
      <c r="B82" s="25"/>
      <c r="G82" s="39" t="s">
        <v>14</v>
      </c>
      <c r="H82" s="40">
        <v>8</v>
      </c>
      <c r="I82" s="41">
        <v>15.999000000000001</v>
      </c>
      <c r="J82" s="42">
        <f t="shared" ref="J82:J83" si="8">((SQRT(1-(1/I82)^2*SIN(RADIANS(165))^2)+1/I82*COS(RADIANS(165)))/(1+1/I82))^2</f>
        <v>0.78185798881983415</v>
      </c>
      <c r="K82" s="50">
        <f t="shared" ref="K82:K83" si="9">$D$80*1000*J82</f>
        <v>3674.7325474532204</v>
      </c>
      <c r="L82" s="43">
        <v>346.5</v>
      </c>
      <c r="AH82" s="124"/>
    </row>
    <row r="83" spans="2:34" ht="15" thickBot="1">
      <c r="B83" s="25"/>
      <c r="D83" s="126">
        <f t="array" ref="D83:E86">LINEST(K81:K84,L81:L84,TRUE,TRUE)</f>
        <v>9.9402332227943919</v>
      </c>
      <c r="E83" s="127">
        <v>230.22785246571448</v>
      </c>
      <c r="G83" s="22" t="s">
        <v>15</v>
      </c>
      <c r="H83" s="21">
        <v>13</v>
      </c>
      <c r="I83" s="21">
        <v>26.98</v>
      </c>
      <c r="J83" s="38">
        <f t="shared" si="8"/>
        <v>0.86433057478706143</v>
      </c>
      <c r="K83" s="51">
        <f>(4700-84.49)*J83</f>
        <v>3989.32641123543</v>
      </c>
      <c r="L83" s="23">
        <v>378</v>
      </c>
      <c r="AH83" s="124"/>
    </row>
    <row r="84" spans="2:34">
      <c r="B84" s="25"/>
      <c r="D84" s="25">
        <v>1.7775769031469803E-2</v>
      </c>
      <c r="E84" s="124">
        <v>6.6040540598479067</v>
      </c>
      <c r="G84" s="26" t="s">
        <v>17</v>
      </c>
      <c r="H84" s="27">
        <v>50</v>
      </c>
      <c r="I84" s="27">
        <v>116</v>
      </c>
      <c r="J84" s="36">
        <f>((SQRT(1-(1/I84)^2*SIN(RADIANS(165))^2)+1/I84*COS(RADIANS(165)))/(1+1/I84))^2</f>
        <v>0.96667191113339779</v>
      </c>
      <c r="K84" s="52">
        <f>$D$80*1000*J84</f>
        <v>4543.3579823269692</v>
      </c>
      <c r="L84" s="28">
        <v>434</v>
      </c>
      <c r="AH84" s="124"/>
    </row>
    <row r="85" spans="2:34">
      <c r="B85" s="25"/>
      <c r="D85" s="25">
        <v>0.99999360425901995</v>
      </c>
      <c r="E85" s="124">
        <v>1.5357791238344698</v>
      </c>
      <c r="G85" s="31" t="s">
        <v>18</v>
      </c>
      <c r="H85" s="29">
        <v>78</v>
      </c>
      <c r="I85" s="29">
        <v>195.1</v>
      </c>
      <c r="J85" s="30">
        <f>((SQRT(1-(1/I85)^2*SIN(RADIANS(165))^2)+1/I85*COS(RADIANS(165)))/(1+1/I85))^2</f>
        <v>0.9800485317759321</v>
      </c>
      <c r="K85" s="53">
        <f>$D$80*1000*J85</f>
        <v>4606.2280993468812</v>
      </c>
      <c r="L85" s="34"/>
      <c r="AH85" s="124"/>
    </row>
    <row r="86" spans="2:34" ht="15" thickBot="1">
      <c r="B86" s="25"/>
      <c r="D86" s="60">
        <v>312706.09844523517</v>
      </c>
      <c r="E86" s="125">
        <v>2</v>
      </c>
      <c r="G86" s="32"/>
      <c r="H86" s="33"/>
      <c r="I86" s="33"/>
      <c r="J86" s="37"/>
      <c r="K86" s="54"/>
      <c r="L86" s="35"/>
      <c r="AH86" s="124"/>
    </row>
    <row r="87" spans="2:34" ht="44.1" thickBot="1">
      <c r="B87" s="25"/>
      <c r="M87" s="1" t="s">
        <v>19</v>
      </c>
      <c r="N87" s="2" t="s">
        <v>20</v>
      </c>
      <c r="O87" s="1" t="s">
        <v>21</v>
      </c>
      <c r="P87" s="2" t="s">
        <v>22</v>
      </c>
      <c r="Q87" s="3" t="s">
        <v>23</v>
      </c>
      <c r="Y87" s="6" t="s">
        <v>24</v>
      </c>
      <c r="Z87" s="7" t="s">
        <v>20</v>
      </c>
      <c r="AA87" s="6" t="s">
        <v>25</v>
      </c>
      <c r="AB87" s="7" t="s">
        <v>22</v>
      </c>
      <c r="AC87" s="8" t="s">
        <v>23</v>
      </c>
      <c r="AH87" s="124"/>
    </row>
    <row r="88" spans="2:34">
      <c r="B88" s="25"/>
      <c r="M88" s="4">
        <v>36.340000000000003</v>
      </c>
      <c r="N88" s="11">
        <f>M88*$B$1/10</f>
        <v>26.564540000000001</v>
      </c>
      <c r="O88" s="15">
        <v>37.130000000000003</v>
      </c>
      <c r="P88" s="4">
        <f>O88*$B$1/10</f>
        <v>27.142029999999998</v>
      </c>
      <c r="Q88" s="14">
        <f>(($J$47/COS(RADIANS(0))*$N$88)+(1/COS(RADIANS(180-165))*$P$88))</f>
        <v>53.778691797155474</v>
      </c>
      <c r="Y88" s="17">
        <v>60.41</v>
      </c>
      <c r="Z88" s="11">
        <f>Y88*$E$1/10</f>
        <v>16.304658999999997</v>
      </c>
      <c r="AA88" s="17">
        <v>67.2</v>
      </c>
      <c r="AB88" s="4">
        <f>AA88*$E$1/10</f>
        <v>18.137279999999997</v>
      </c>
      <c r="AC88" s="10">
        <f>(($J$45/COS(RADIANS(0))*Z88)+(1/COS(RADIANS(180-165))*AB88))</f>
        <v>32.869709246605218</v>
      </c>
      <c r="AH88" s="124"/>
    </row>
    <row r="89" spans="2:34">
      <c r="B89" s="25"/>
      <c r="AH89" s="124"/>
    </row>
    <row r="90" spans="2:34" ht="15" thickBot="1">
      <c r="B90" s="25"/>
      <c r="AH90" s="124"/>
    </row>
    <row r="91" spans="2:34" ht="29.45" thickBot="1">
      <c r="B91" s="25"/>
      <c r="M91" s="9" t="s">
        <v>44</v>
      </c>
      <c r="N91" s="62" t="s">
        <v>27</v>
      </c>
      <c r="O91" s="63" t="s">
        <v>28</v>
      </c>
      <c r="P91" s="97" t="s">
        <v>29</v>
      </c>
      <c r="Q91" s="99" t="s">
        <v>30</v>
      </c>
      <c r="R91" s="69"/>
      <c r="S91" s="82"/>
      <c r="T91" s="91" t="s">
        <v>31</v>
      </c>
      <c r="U91" s="92" t="s">
        <v>32</v>
      </c>
      <c r="V91" s="93"/>
      <c r="W91" s="94"/>
      <c r="Z91" s="5" t="s">
        <v>33</v>
      </c>
      <c r="AA91" s="6" t="s">
        <v>34</v>
      </c>
      <c r="AB91" s="7" t="s">
        <v>29</v>
      </c>
      <c r="AC91" s="71" t="s">
        <v>40</v>
      </c>
      <c r="AD91" s="72"/>
      <c r="AE91" s="72"/>
      <c r="AF91" s="96" t="s">
        <v>41</v>
      </c>
      <c r="AH91" s="124"/>
    </row>
    <row r="92" spans="2:34" ht="15" thickBot="1">
      <c r="B92" s="25"/>
      <c r="M92" s="18"/>
      <c r="N92" s="64">
        <v>434</v>
      </c>
      <c r="O92" s="65">
        <v>425.5</v>
      </c>
      <c r="P92" s="98">
        <f>(N92-O92)*D83</f>
        <v>84.491982393752338</v>
      </c>
      <c r="Q92" s="104">
        <f>P92*10^3/Q88</f>
        <v>1571.1052011536915</v>
      </c>
      <c r="R92" s="105" t="s">
        <v>35</v>
      </c>
      <c r="S92" s="106">
        <f>Q92/D83*D84</f>
        <v>2.8095521054583399</v>
      </c>
      <c r="T92" s="107">
        <v>1497</v>
      </c>
      <c r="U92" s="108">
        <v>1661</v>
      </c>
      <c r="V92" s="109" t="s">
        <v>35</v>
      </c>
      <c r="W92" s="110">
        <v>66</v>
      </c>
      <c r="X92" s="66" t="s">
        <v>36</v>
      </c>
      <c r="Z92" s="111">
        <v>378</v>
      </c>
      <c r="AA92" s="16">
        <v>373.5</v>
      </c>
      <c r="AB92" s="70">
        <f>(Z92-AA92)*D83</f>
        <v>44.731049502574763</v>
      </c>
      <c r="AC92" s="112">
        <f>AB92*10^3/AC88</f>
        <v>1360.8592995751731</v>
      </c>
      <c r="AD92" s="116" t="s">
        <v>35</v>
      </c>
      <c r="AE92" s="117">
        <f>AC92/D83*D84</f>
        <v>2.433576763380576</v>
      </c>
      <c r="AF92" s="118">
        <v>9.3000000000000007</v>
      </c>
      <c r="AG92" s="66" t="s">
        <v>36</v>
      </c>
      <c r="AH92" s="124"/>
    </row>
    <row r="93" spans="2:34" ht="15" thickBot="1">
      <c r="B93" s="25"/>
      <c r="Q93" s="102"/>
      <c r="R93" s="73"/>
      <c r="S93" s="103"/>
      <c r="T93" s="95"/>
      <c r="U93" s="95"/>
      <c r="V93" s="73"/>
      <c r="W93" s="100"/>
      <c r="AC93" s="68"/>
      <c r="AD93" s="67"/>
      <c r="AE93" s="83"/>
      <c r="AF93" s="76"/>
      <c r="AH93" s="124"/>
    </row>
    <row r="94" spans="2:34" ht="15" thickBot="1">
      <c r="B94" s="25"/>
      <c r="Q94" s="89">
        <f>Q92*$B$1*10^(-7)*10^3</f>
        <v>1.1484779020433484</v>
      </c>
      <c r="R94" s="87" t="s">
        <v>35</v>
      </c>
      <c r="S94" s="88">
        <f>S92*$B$1*10^(-7)*10^3</f>
        <v>2.0537825890900464E-3</v>
      </c>
      <c r="T94" s="131">
        <f>T92*$B$1*10^(-7)*10^3</f>
        <v>1.0943069999999999</v>
      </c>
      <c r="U94" s="90">
        <f>U92*$B$1*10^(-7)*10^3</f>
        <v>1.2141909999999998</v>
      </c>
      <c r="V94" s="75" t="s">
        <v>35</v>
      </c>
      <c r="W94" s="101">
        <f>W92*$B$1*10^(-7)*10^3</f>
        <v>4.8245999999999997E-2</v>
      </c>
      <c r="X94" s="66" t="s">
        <v>37</v>
      </c>
      <c r="AC94" s="113">
        <f>AC92*$E$1/10</f>
        <v>367.29592495533922</v>
      </c>
      <c r="AD94" s="114" t="s">
        <v>35</v>
      </c>
      <c r="AE94" s="115">
        <f>AE92*$E$1*10^(-7)*10^6</f>
        <v>0.6568223684364175</v>
      </c>
      <c r="AF94" s="119">
        <f>AF92*$E$1/10</f>
        <v>2.5100699999999998</v>
      </c>
      <c r="AG94" s="66" t="s">
        <v>38</v>
      </c>
      <c r="AH94" s="124"/>
    </row>
    <row r="95" spans="2:34">
      <c r="B95" s="25"/>
      <c r="U95" s="73"/>
      <c r="V95" s="73"/>
      <c r="W95" s="85"/>
      <c r="AH95" s="124"/>
    </row>
    <row r="96" spans="2:34" ht="15" thickBot="1">
      <c r="B96" s="60"/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84"/>
      <c r="T96" s="61"/>
      <c r="U96" s="74"/>
      <c r="V96" s="74"/>
      <c r="W96" s="86"/>
      <c r="X96" s="61"/>
      <c r="Y96" s="61"/>
      <c r="Z96" s="61"/>
      <c r="AA96" s="61"/>
      <c r="AB96" s="61"/>
      <c r="AC96" s="61"/>
      <c r="AD96" s="61"/>
      <c r="AE96" s="61"/>
      <c r="AF96" s="61"/>
      <c r="AG96" s="61"/>
      <c r="AH96" s="125"/>
    </row>
    <row r="97" spans="2:34" ht="15" thickBot="1">
      <c r="U97" s="73"/>
      <c r="V97" s="73"/>
      <c r="W97" s="85"/>
    </row>
    <row r="98" spans="2:34" ht="15" thickBot="1">
      <c r="B98" s="58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81"/>
      <c r="T98" s="59"/>
      <c r="U98" s="59"/>
      <c r="V98" s="59"/>
      <c r="W98" s="79"/>
      <c r="X98" s="59"/>
      <c r="Y98" s="59"/>
      <c r="Z98" s="59"/>
      <c r="AA98" s="59"/>
      <c r="AB98" s="59"/>
      <c r="AC98" s="59"/>
      <c r="AD98" s="59"/>
      <c r="AE98" s="59"/>
      <c r="AF98" s="59"/>
      <c r="AG98" s="59"/>
      <c r="AH98" s="123"/>
    </row>
    <row r="99" spans="2:34" ht="29.45" thickBot="1">
      <c r="B99" s="25"/>
      <c r="C99" s="55" t="s">
        <v>5</v>
      </c>
      <c r="D99" s="56">
        <v>5</v>
      </c>
      <c r="E99" s="57" t="s">
        <v>6</v>
      </c>
      <c r="G99" s="24" t="s">
        <v>7</v>
      </c>
      <c r="H99" s="19" t="s">
        <v>8</v>
      </c>
      <c r="I99" s="19" t="s">
        <v>9</v>
      </c>
      <c r="J99" s="19" t="s">
        <v>10</v>
      </c>
      <c r="K99" s="19" t="s">
        <v>11</v>
      </c>
      <c r="L99" s="20" t="s">
        <v>12</v>
      </c>
      <c r="AH99" s="124"/>
    </row>
    <row r="100" spans="2:34">
      <c r="B100" s="25"/>
      <c r="G100" s="44" t="s">
        <v>13</v>
      </c>
      <c r="H100" s="45">
        <v>6</v>
      </c>
      <c r="I100" s="45">
        <v>12.010999999999999</v>
      </c>
      <c r="J100" s="46">
        <f>((SQRT(1-(1/I100)^2*SIN(RADIANS(165))^2)+1/I100*COS(RADIANS(165)))/(1+1/I100))^2</f>
        <v>0.72027206504080021</v>
      </c>
      <c r="K100" s="49">
        <f>$D$99*1000*J100</f>
        <v>3601.3603252040011</v>
      </c>
      <c r="L100" s="47">
        <v>339</v>
      </c>
      <c r="AH100" s="124"/>
    </row>
    <row r="101" spans="2:34" ht="15" thickBot="1">
      <c r="B101" s="25"/>
      <c r="G101" s="39" t="s">
        <v>14</v>
      </c>
      <c r="H101" s="40">
        <v>8</v>
      </c>
      <c r="I101" s="41">
        <v>15.999000000000001</v>
      </c>
      <c r="J101" s="42">
        <f t="shared" ref="J101:J103" si="10">((SQRT(1-(1/I101)^2*SIN(RADIANS(165))^2)+1/I101*COS(RADIANS(165)))/(1+1/I101))^2</f>
        <v>0.78185798881983415</v>
      </c>
      <c r="K101" s="50">
        <f t="shared" ref="K101:K105" si="11">$D$99*1000*J101</f>
        <v>3909.289944099171</v>
      </c>
      <c r="L101" s="43">
        <v>370.5</v>
      </c>
      <c r="AH101" s="124"/>
    </row>
    <row r="102" spans="2:34" ht="15" thickBot="1">
      <c r="B102" s="25"/>
      <c r="D102" s="126">
        <f t="array" ref="D102:E105">LINEST(K100:K105,L100:L105,TRUE,TRUE)</f>
        <v>9.8332864316198414</v>
      </c>
      <c r="E102" s="127">
        <v>268.62608299534759</v>
      </c>
      <c r="G102" s="22" t="s">
        <v>15</v>
      </c>
      <c r="H102" s="21">
        <v>13</v>
      </c>
      <c r="I102" s="21">
        <v>26.98</v>
      </c>
      <c r="J102" s="38">
        <f t="shared" si="10"/>
        <v>0.86433057478706143</v>
      </c>
      <c r="K102" s="51">
        <f>(5000-88.5)*J102</f>
        <v>4245.159618066652</v>
      </c>
      <c r="L102" s="23">
        <v>405</v>
      </c>
      <c r="AH102" s="124"/>
    </row>
    <row r="103" spans="2:34">
      <c r="B103" s="25"/>
      <c r="D103" s="25">
        <v>7.8457189141303008E-2</v>
      </c>
      <c r="E103" s="124">
        <v>32.424986453666527</v>
      </c>
      <c r="G103" s="26" t="s">
        <v>16</v>
      </c>
      <c r="H103" s="27">
        <v>14</v>
      </c>
      <c r="I103" s="27">
        <v>28.09</v>
      </c>
      <c r="J103" s="36">
        <f t="shared" si="10"/>
        <v>0.86932910407021868</v>
      </c>
      <c r="K103" s="52">
        <f t="shared" si="11"/>
        <v>4346.6455203510932</v>
      </c>
      <c r="L103" s="28">
        <v>413.5</v>
      </c>
      <c r="AH103" s="124"/>
    </row>
    <row r="104" spans="2:34">
      <c r="B104" s="25"/>
      <c r="D104" s="25">
        <v>0.99974542396027632</v>
      </c>
      <c r="E104" s="124">
        <v>9.0626402594068676</v>
      </c>
      <c r="G104" s="31" t="s">
        <v>17</v>
      </c>
      <c r="H104" s="29">
        <v>50</v>
      </c>
      <c r="I104" s="29">
        <v>116</v>
      </c>
      <c r="J104" s="30">
        <f>((SQRT(1-(1/I104)^2*SIN(RADIANS(165))^2)+1/I104*COS(RADIANS(165)))/(1+1/I104))^2</f>
        <v>0.96667191113339779</v>
      </c>
      <c r="K104" s="53">
        <f t="shared" si="11"/>
        <v>4833.3595556669889</v>
      </c>
      <c r="L104" s="34">
        <v>463.5</v>
      </c>
      <c r="AH104" s="124"/>
    </row>
    <row r="105" spans="2:34" ht="15" thickBot="1">
      <c r="B105" s="25"/>
      <c r="D105" s="60">
        <v>15708.397774515663</v>
      </c>
      <c r="E105" s="125">
        <v>4</v>
      </c>
      <c r="G105" s="32" t="s">
        <v>18</v>
      </c>
      <c r="H105" s="33">
        <v>78</v>
      </c>
      <c r="I105" s="33">
        <v>195.1</v>
      </c>
      <c r="J105" s="37">
        <f>((SQRT(1-(1/I105)^2*SIN(RADIANS(165))^2)+1/I105*COS(RADIANS(165)))/(1+1/I105))^2</f>
        <v>0.9800485317759321</v>
      </c>
      <c r="K105" s="54">
        <f t="shared" si="11"/>
        <v>4900.2426588796607</v>
      </c>
      <c r="L105" s="35">
        <v>472</v>
      </c>
      <c r="AH105" s="124"/>
    </row>
    <row r="106" spans="2:34" ht="44.1" thickBot="1">
      <c r="B106" s="25"/>
      <c r="M106" s="1" t="s">
        <v>19</v>
      </c>
      <c r="N106" s="2" t="s">
        <v>20</v>
      </c>
      <c r="O106" s="1" t="s">
        <v>21</v>
      </c>
      <c r="P106" s="2" t="s">
        <v>22</v>
      </c>
      <c r="Q106" s="3" t="s">
        <v>23</v>
      </c>
      <c r="Y106" s="6" t="s">
        <v>24</v>
      </c>
      <c r="Z106" s="7" t="s">
        <v>20</v>
      </c>
      <c r="AA106" s="6" t="s">
        <v>25</v>
      </c>
      <c r="AB106" s="7" t="s">
        <v>22</v>
      </c>
      <c r="AC106" s="8" t="s">
        <v>23</v>
      </c>
      <c r="AH106" s="124"/>
    </row>
    <row r="107" spans="2:34">
      <c r="B107" s="25"/>
      <c r="M107" s="4">
        <v>34.93</v>
      </c>
      <c r="N107" s="11">
        <f>M107*$B$1/10</f>
        <v>25.533829999999998</v>
      </c>
      <c r="O107" s="15">
        <v>35.700000000000003</v>
      </c>
      <c r="P107" s="4">
        <f>O107*$B$1/10</f>
        <v>26.096699999999998</v>
      </c>
      <c r="Q107" s="14">
        <f>(($J$47/COS(RADIANS(0))*$N$107)+(1/COS(RADIANS(180-165))*$P$107))</f>
        <v>51.700128141963091</v>
      </c>
      <c r="Y107" s="17">
        <v>57.71</v>
      </c>
      <c r="Z107" s="11">
        <f>Y107*$E$1/10</f>
        <v>15.575928999999999</v>
      </c>
      <c r="AA107" s="17">
        <v>64.22</v>
      </c>
      <c r="AB107" s="4">
        <f>AA107*$E$1/10</f>
        <v>17.332978000000001</v>
      </c>
      <c r="AC107" s="10">
        <f>(($J$102/COS(RADIANS(0))*Z107)+(1/COS(RADIANS(180-165))*AB107))</f>
        <v>31.407170924384459</v>
      </c>
      <c r="AH107" s="124"/>
    </row>
    <row r="108" spans="2:34">
      <c r="B108" s="25"/>
      <c r="AH108" s="124"/>
    </row>
    <row r="109" spans="2:34" ht="15" thickBot="1">
      <c r="B109" s="25"/>
      <c r="AH109" s="124"/>
    </row>
    <row r="110" spans="2:34" ht="29.45" thickBot="1">
      <c r="B110" s="25"/>
      <c r="M110" s="9" t="s">
        <v>45</v>
      </c>
      <c r="N110" s="62" t="s">
        <v>27</v>
      </c>
      <c r="O110" s="63" t="s">
        <v>28</v>
      </c>
      <c r="P110" s="97" t="s">
        <v>29</v>
      </c>
      <c r="Q110" s="99" t="s">
        <v>30</v>
      </c>
      <c r="R110" s="69"/>
      <c r="S110" s="82"/>
      <c r="T110" s="91" t="s">
        <v>31</v>
      </c>
      <c r="U110" s="92" t="s">
        <v>32</v>
      </c>
      <c r="V110" s="93"/>
      <c r="W110" s="94"/>
      <c r="Z110" s="5" t="s">
        <v>33</v>
      </c>
      <c r="AA110" s="6" t="s">
        <v>34</v>
      </c>
      <c r="AB110" s="7" t="s">
        <v>29</v>
      </c>
      <c r="AC110" s="71" t="s">
        <v>40</v>
      </c>
      <c r="AD110" s="72"/>
      <c r="AE110" s="72"/>
      <c r="AF110" s="96" t="s">
        <v>41</v>
      </c>
      <c r="AH110" s="124"/>
    </row>
    <row r="111" spans="2:34" ht="15" thickBot="1">
      <c r="B111" s="25"/>
      <c r="M111" s="18"/>
      <c r="N111" s="64">
        <v>463.5</v>
      </c>
      <c r="O111" s="65">
        <v>454.5</v>
      </c>
      <c r="P111" s="98">
        <f>(N111-O111)*D102</f>
        <v>88.499577884578571</v>
      </c>
      <c r="Q111" s="104">
        <f>P111*10^3/Q107</f>
        <v>1711.7864319710789</v>
      </c>
      <c r="R111" s="105" t="s">
        <v>35</v>
      </c>
      <c r="S111" s="106">
        <f>Q111/D102*D103</f>
        <v>13.657890756727152</v>
      </c>
      <c r="T111" s="107">
        <v>1543</v>
      </c>
      <c r="U111" s="108">
        <v>1708</v>
      </c>
      <c r="V111" s="109" t="s">
        <v>35</v>
      </c>
      <c r="W111" s="110">
        <v>59</v>
      </c>
      <c r="X111" s="66" t="s">
        <v>36</v>
      </c>
      <c r="Z111" s="111">
        <v>404</v>
      </c>
      <c r="AA111" s="16">
        <v>401</v>
      </c>
      <c r="AB111" s="70">
        <f>(Z111-AA111)*D102</f>
        <v>29.499859294859526</v>
      </c>
      <c r="AC111" s="112">
        <f>AB111*10^3/AC107</f>
        <v>939.27146019878853</v>
      </c>
      <c r="AD111" s="116" t="s">
        <v>35</v>
      </c>
      <c r="AE111" s="117">
        <f>AC111/D102*D103</f>
        <v>7.4941983151104852</v>
      </c>
      <c r="AF111" s="118">
        <v>59.1</v>
      </c>
      <c r="AG111" s="66" t="s">
        <v>36</v>
      </c>
      <c r="AH111" s="124"/>
    </row>
    <row r="112" spans="2:34" ht="15" thickBot="1">
      <c r="B112" s="25"/>
      <c r="Q112" s="102"/>
      <c r="R112" s="73"/>
      <c r="S112" s="103"/>
      <c r="T112" s="95"/>
      <c r="U112" s="95"/>
      <c r="V112" s="73"/>
      <c r="W112" s="100"/>
      <c r="AC112" s="68"/>
      <c r="AD112" s="67"/>
      <c r="AE112" s="83"/>
      <c r="AF112" s="76"/>
      <c r="AH112" s="124"/>
    </row>
    <row r="113" spans="2:34" ht="15" thickBot="1">
      <c r="B113" s="25"/>
      <c r="Q113" s="89">
        <f>Q111*$B$1*10^(-7)*10^3</f>
        <v>1.2513158817708583</v>
      </c>
      <c r="R113" s="87" t="s">
        <v>35</v>
      </c>
      <c r="S113" s="88">
        <f>S111*$B$1*10^(-7)*10^3</f>
        <v>9.9839181431675469E-3</v>
      </c>
      <c r="T113" s="131">
        <f>T111*$B$1*10^(-7)*10^3</f>
        <v>1.1279330000000001</v>
      </c>
      <c r="U113" s="90">
        <f>U111*$B$1*10^(-7)*10^3</f>
        <v>1.248548</v>
      </c>
      <c r="V113" s="75" t="s">
        <v>35</v>
      </c>
      <c r="W113" s="101">
        <f>W111*$B$1*10^(-7)*10^3</f>
        <v>4.3128999999999994E-2</v>
      </c>
      <c r="X113" s="66" t="s">
        <v>37</v>
      </c>
      <c r="AC113" s="113">
        <f>AC111*$E$1/10</f>
        <v>253.50936710765299</v>
      </c>
      <c r="AD113" s="114" t="s">
        <v>35</v>
      </c>
      <c r="AE113" s="115">
        <f>AE111*$E$1*10^(-7)*10^6</f>
        <v>2.0226841252483196</v>
      </c>
      <c r="AF113" s="119">
        <f>AF111*$E$1/10</f>
        <v>15.951089999999999</v>
      </c>
      <c r="AG113" s="66" t="s">
        <v>38</v>
      </c>
      <c r="AH113" s="124"/>
    </row>
    <row r="114" spans="2:34">
      <c r="B114" s="25"/>
      <c r="U114" s="73"/>
      <c r="V114" s="73"/>
      <c r="W114" s="85"/>
      <c r="AH114" s="124"/>
    </row>
    <row r="115" spans="2:34" ht="15" thickBot="1">
      <c r="B115" s="60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84"/>
      <c r="T115" s="61"/>
      <c r="U115" s="74"/>
      <c r="V115" s="74"/>
      <c r="W115" s="86"/>
      <c r="X115" s="61"/>
      <c r="Y115" s="61"/>
      <c r="Z115" s="61"/>
      <c r="AA115" s="61"/>
      <c r="AB115" s="61"/>
      <c r="AC115" s="61"/>
      <c r="AD115" s="61"/>
      <c r="AE115" s="61"/>
      <c r="AF115" s="61"/>
      <c r="AG115" s="61"/>
      <c r="AH115" s="125"/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 r:id="rId1"/>
  <headerFooter>
    <oddHeader>&amp;C&amp;"Times New Roman,Regular"&amp;12&amp;A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Ricardo Pires</dc:creator>
  <cp:keywords/>
  <dc:description/>
  <cp:lastModifiedBy>Ricardo Pires</cp:lastModifiedBy>
  <cp:revision>27</cp:revision>
  <dcterms:created xsi:type="dcterms:W3CDTF">2022-08-29T11:45:38Z</dcterms:created>
  <dcterms:modified xsi:type="dcterms:W3CDTF">2025-09-09T12:27:20Z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